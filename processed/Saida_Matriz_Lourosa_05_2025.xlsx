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74" firstSheet="1" activeTab="2" autoFilterDateGrouping="1"/>
  </bookViews>
  <sheets>
    <sheet xmlns:r="http://schemas.openxmlformats.org/officeDocument/2006/relationships" name="Matriz" sheetId="1" state="hidden" r:id="rId1"/>
    <sheet xmlns:r="http://schemas.openxmlformats.org/officeDocument/2006/relationships" name="Regras" sheetId="2" state="visible" r:id="rId2"/>
    <sheet xmlns:r="http://schemas.openxmlformats.org/officeDocument/2006/relationships" name="Parametrização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Conferência Saldos" sheetId="5" state="visible" r:id="rId5"/>
    <sheet xmlns:r="http://schemas.openxmlformats.org/officeDocument/2006/relationships" name="Recibos de Venda" sheetId="6" state="visible" r:id="rId6"/>
    <sheet xmlns:r="http://schemas.openxmlformats.org/officeDocument/2006/relationships" name="Despesas" sheetId="7" state="visible" r:id="rId7"/>
    <sheet xmlns:r="http://schemas.openxmlformats.org/officeDocument/2006/relationships" name="Lançamentos Contábeis" sheetId="8" state="visible" r:id="rId8"/>
    <sheet xmlns:r="http://schemas.openxmlformats.org/officeDocument/2006/relationships" name="Lançamentos manuais" sheetId="9" state="visible" r:id="rId9"/>
  </sheets>
  <definedNames>
    <definedName name="_xlnm._FilterDatabase" localSheetId="0" hidden="1">'Matriz'!$A$2:$AA$200</definedName>
    <definedName name="_xlnm._FilterDatabase" localSheetId="2" hidden="1">'Parametrização'!$A$2:$E$67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&quot;R$&quot;\ #,##0.00;[Red]\-&quot;R$&quot;\ #,##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Segoe UI"/>
      <family val="2"/>
      <b val="1"/>
      <color indexed="81"/>
      <sz val="9"/>
    </font>
    <font>
      <name val="Calibri"/>
      <family val="2"/>
      <sz val="11"/>
      <scheme val="minor"/>
    </font>
    <font>
      <name val="Segoe UI"/>
      <family val="2"/>
      <color indexed="81"/>
      <sz val="9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2" fillId="0" borderId="0" applyAlignment="1">
      <alignment horizontal="left"/>
    </xf>
    <xf numFmtId="44" fontId="2" fillId="0" borderId="0"/>
    <xf numFmtId="0" fontId="4" fillId="0" borderId="0"/>
    <xf numFmtId="44" fontId="2" fillId="0" borderId="0"/>
    <xf numFmtId="43" fontId="2" fillId="0" borderId="0"/>
  </cellStyleXfs>
  <cellXfs count="96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4" fontId="3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4" fontId="0" fillId="3" borderId="0" applyAlignment="1" pivotButton="0" quotePrefix="0" xfId="0">
      <alignment horizontal="left"/>
    </xf>
    <xf numFmtId="14" fontId="3" fillId="4" borderId="0" applyAlignment="1" pivotButton="0" quotePrefix="0" xfId="0">
      <alignment horizontal="left"/>
    </xf>
    <xf numFmtId="14" fontId="0" fillId="4" borderId="0" applyAlignment="1" pivotButton="0" quotePrefix="0" xfId="0">
      <alignment horizontal="left"/>
    </xf>
    <xf numFmtId="164" fontId="3" fillId="3" borderId="0" applyAlignment="1" pivotButton="0" quotePrefix="0" xfId="1">
      <alignment horizontal="left"/>
    </xf>
    <xf numFmtId="164" fontId="0" fillId="3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164" fontId="0" fillId="2" borderId="0" applyAlignment="1" pivotButton="0" quotePrefix="0" xfId="1">
      <alignment horizontal="left"/>
    </xf>
    <xf numFmtId="164" fontId="3" fillId="4" borderId="0" applyAlignment="1" pivotButton="0" quotePrefix="0" xfId="1">
      <alignment horizontal="left"/>
    </xf>
    <xf numFmtId="164" fontId="0" fillId="4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3" fillId="5" borderId="0" applyAlignment="1" pivotButton="0" quotePrefix="0" xfId="1">
      <alignment horizontal="left"/>
    </xf>
    <xf numFmtId="164" fontId="0" fillId="5" borderId="0" applyAlignment="1" pivotButton="0" quotePrefix="0" xfId="1">
      <alignment horizontal="left"/>
    </xf>
    <xf numFmtId="0" fontId="6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164" fontId="6" fillId="2" borderId="0" applyAlignment="1" pivotButton="0" quotePrefix="0" xfId="1">
      <alignment horizontal="left"/>
    </xf>
    <xf numFmtId="164" fontId="5" fillId="2" borderId="0" applyAlignment="1" pivotButton="0" quotePrefix="0" xfId="1">
      <alignment horizontal="left"/>
    </xf>
    <xf numFmtId="0" fontId="0" fillId="0" borderId="0" pivotButton="0" quotePrefix="0" xfId="0"/>
    <xf numFmtId="0" fontId="8" fillId="0" borderId="0" pivotButton="0" quotePrefix="0" xfId="0"/>
    <xf numFmtId="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0" fillId="9" borderId="0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6" pivotButton="0" quotePrefix="0" xfId="0"/>
    <xf numFmtId="0" fontId="8" fillId="0" borderId="6" pivotButton="0" quotePrefix="0" xfId="0"/>
    <xf numFmtId="0" fontId="1" fillId="0" borderId="4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0" fillId="0" borderId="4" pivotButton="0" quotePrefix="0" xfId="0"/>
    <xf numFmtId="0" fontId="0" fillId="0" borderId="7" pivotButton="0" quotePrefix="0" xfId="0"/>
    <xf numFmtId="0" fontId="8" fillId="0" borderId="6" applyAlignment="1" pivotButton="0" quotePrefix="0" xfId="0">
      <alignment horizontal="left"/>
    </xf>
    <xf numFmtId="0" fontId="11" fillId="0" borderId="6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10" borderId="6" applyAlignment="1" pivotButton="0" quotePrefix="0" xfId="0">
      <alignment horizontal="left"/>
    </xf>
    <xf numFmtId="0" fontId="0" fillId="10" borderId="4" applyAlignment="1" pivotButton="0" quotePrefix="0" xfId="0">
      <alignment horizontal="left"/>
    </xf>
    <xf numFmtId="0" fontId="0" fillId="10" borderId="7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5" fillId="0" borderId="6" pivotButton="0" quotePrefix="0" xfId="0"/>
    <xf numFmtId="0" fontId="5" fillId="0" borderId="4" pivotButton="0" quotePrefix="0" xfId="0"/>
    <xf numFmtId="0" fontId="5" fillId="0" borderId="7" pivotButton="0" quotePrefix="0" xfId="0"/>
    <xf numFmtId="0" fontId="0" fillId="0" borderId="8" applyAlignment="1" pivotButton="0" quotePrefix="0" xfId="0">
      <alignment horizontal="left"/>
    </xf>
    <xf numFmtId="164" fontId="0" fillId="2" borderId="0" applyAlignment="1" pivotButton="0" quotePrefix="0" xfId="1">
      <alignment horizontal="left"/>
    </xf>
    <xf numFmtId="164" fontId="5" fillId="2" borderId="0" applyAlignment="1" pivotButton="0" quotePrefix="0" xfId="1">
      <alignment horizontal="left"/>
    </xf>
    <xf numFmtId="164" fontId="0" fillId="3" borderId="0" applyAlignment="1" pivotButton="0" quotePrefix="0" xfId="1">
      <alignment horizontal="left"/>
    </xf>
    <xf numFmtId="164" fontId="0" fillId="4" borderId="0" applyAlignment="1" pivotButton="0" quotePrefix="0" xfId="1">
      <alignment horizontal="left"/>
    </xf>
    <xf numFmtId="164" fontId="0" fillId="5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3" fillId="5" borderId="0" applyAlignment="1" pivotButton="0" quotePrefix="0" xfId="1">
      <alignment horizontal="left"/>
    </xf>
    <xf numFmtId="164" fontId="3" fillId="0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164" fontId="6" fillId="2" borderId="0" applyAlignment="1" pivotButton="0" quotePrefix="0" xfId="1">
      <alignment horizontal="left"/>
    </xf>
    <xf numFmtId="164" fontId="3" fillId="3" borderId="0" applyAlignment="1" pivotButton="0" quotePrefix="0" xfId="1">
      <alignment horizontal="left"/>
    </xf>
    <xf numFmtId="164" fontId="3" fillId="4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0" fontId="10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  <xf numFmtId="165" fontId="0" fillId="0" borderId="0" applyAlignment="1" pivotButton="0" quotePrefix="0" xfId="0">
      <alignment horizontal="left"/>
    </xf>
  </cellXfs>
  <cellStyles count="5">
    <cellStyle name="Normal" xfId="0" builtinId="0"/>
    <cellStyle name="Moeda" xfId="1" builtinId="4"/>
    <cellStyle name="Normal 2" xfId="2"/>
    <cellStyle name="Moeda 2" xfId="3"/>
    <cellStyle name="Vírgula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tc={80ACFEBF-A4B7-4CAC-ABBB-28039C0CCFD1}</author>
    <author>tc={6BCD4D32-3961-4853-9059-E94F070D960B}</author>
    <author>tc={2BA086C7-A4A2-4BF7-AFD5-5D4F526B4584}</author>
  </authors>
  <commentList>
    <comment ref="H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com Fórmulan NÃO MEXER!</t>
      </text>
    </comment>
    <comment ref="W2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com Fórmulan NÃO MEXER!</t>
      </text>
    </comment>
    <comment ref="AC2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Saldo inicial do Extrato &gt; Igual Saldo final do mês anterior do Extrato</t>
      </text>
    </comment>
  </commentList>
</comments>
</file>

<file path=xl/comments/comment2.xml><?xml version="1.0" encoding="utf-8"?>
<comments xmlns="http://schemas.openxmlformats.org/spreadsheetml/2006/main">
  <authors>
    <author>João Martins</author>
  </authors>
  <commentList>
    <comment ref="A1" authorId="0" shapeId="0">
      <text>
        <t>João Martins:
O Local está vinculado a um locatário; existe a opção de num mesmo mês o imóvel ter transações como vago e ocupado (por exemplo, imóvel que é alugado a meio do mês).</t>
      </text>
    </comment>
    <comment ref="G1" authorId="0" shapeId="0">
      <text>
        <t>João Martins:
O Local está vinculado a um locatário; existe a opção de num mesmo mês o imóvel ter transações como vago e ocupado (por exemplo, imóvel que é alugado a meio do mês).</t>
      </text>
    </comment>
  </commentList>
</comments>
</file>

<file path=xl/comments/comment3.xml><?xml version="1.0" encoding="utf-8"?>
<comments xmlns="http://schemas.openxmlformats.org/spreadsheetml/2006/main">
  <authors>
    <author>Administrador</author>
    <author>João Martins</author>
  </authors>
  <commentList>
    <comment ref="F1" authorId="0" shapeId="0">
      <text>
        <t>Plano de contas atualizado em 27/10:
Alteração de despesas de imóveis próprios para custos com imóveis próprios</t>
      </text>
    </comment>
    <comment ref="A7" authorId="1" shapeId="0">
      <text>
        <t xml:space="preserve">João Martins:
Descontinuar este centro de custo
</t>
      </text>
    </comment>
    <comment ref="A17" authorId="1" shapeId="0">
      <text>
        <t>João Martins:
Criar este Centro de custo</t>
      </text>
    </comment>
  </commentList>
</comment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"/>
  <sheetViews>
    <sheetView workbookViewId="0">
      <pane ySplit="2" topLeftCell="A3" activePane="bottomLeft" state="frozen"/>
      <selection pane="bottomLeft" activeCell="B3" sqref="B3"/>
    </sheetView>
  </sheetViews>
  <sheetFormatPr baseColWidth="8" defaultRowHeight="14.4"/>
  <cols>
    <col width="26.6640625" bestFit="1" customWidth="1" style="2" min="1" max="1"/>
    <col width="22.33203125" bestFit="1" customWidth="1" style="12" min="2" max="2"/>
    <col width="31.5546875" bestFit="1" customWidth="1" style="2" min="3" max="3"/>
    <col width="15.33203125" bestFit="1" customWidth="1" style="2" min="4" max="4"/>
    <col width="14.6640625" bestFit="1" customWidth="1" style="2" min="5" max="5"/>
    <col width="12.6640625" bestFit="1" customWidth="1" style="78" min="6" max="6"/>
    <col width="12.6640625" customWidth="1" style="78" min="7" max="7"/>
    <col width="12.6640625" bestFit="1" customWidth="1" style="79" min="8" max="8"/>
    <col width="16.33203125" bestFit="1" customWidth="1" style="2" min="9" max="9"/>
    <col width="31.5546875" bestFit="1" customWidth="1" style="3" min="10" max="10"/>
    <col width="48.44140625" bestFit="1" customWidth="1" style="3" min="11" max="11"/>
    <col width="17.6640625" bestFit="1" customWidth="1" style="14" min="12" max="12"/>
    <col width="58.6640625" bestFit="1" customWidth="1" style="3" min="13" max="13"/>
    <col width="20.33203125" bestFit="1" customWidth="1" style="3" min="14" max="14"/>
    <col width="11.6640625" bestFit="1" customWidth="1" style="80" min="15" max="15"/>
    <col width="18.6640625" customWidth="1" style="3" min="16" max="16"/>
    <col width="14.6640625" bestFit="1" customWidth="1" style="3" min="17" max="17"/>
    <col width="8.44140625" bestFit="1" customWidth="1" style="4" min="18" max="18"/>
    <col width="18.33203125" bestFit="1" customWidth="1" style="16" min="19" max="19"/>
    <col width="53.6640625" bestFit="1" customWidth="1" style="4" min="20" max="20"/>
    <col width="11.6640625" bestFit="1" customWidth="1" style="81" min="21" max="21"/>
    <col width="11.6640625" customWidth="1" style="81" min="22" max="22"/>
    <col width="7.6640625" bestFit="1" customWidth="1" style="27" min="23" max="23"/>
    <col width="22.33203125" bestFit="1" customWidth="1" style="4" min="24" max="24"/>
    <col width="38.6640625" bestFit="1" customWidth="1" style="4" min="25" max="25"/>
    <col width="34" bestFit="1" customWidth="1" style="4" min="26" max="26"/>
    <col width="14.6640625" bestFit="1" customWidth="1" style="4" min="27" max="27"/>
    <col width="15" bestFit="1" customWidth="1" style="82" min="28" max="28"/>
    <col width="13.33203125" bestFit="1" customWidth="1" style="83" min="29" max="29"/>
    <col width="12.6640625" bestFit="1" customWidth="1" style="30" min="30" max="30"/>
    <col width="11.6640625" bestFit="1" customWidth="1" style="30" min="31" max="31"/>
  </cols>
  <sheetData>
    <row r="1">
      <c r="A1" s="66" t="inlineStr">
        <is>
          <t>RECEITA</t>
        </is>
      </c>
      <c r="J1" s="67" t="inlineStr">
        <is>
          <t>DESPESA</t>
        </is>
      </c>
      <c r="R1" s="68" t="inlineStr">
        <is>
          <t>LANÇAMENTO CONTÁBIL</t>
        </is>
      </c>
      <c r="AB1" s="84" t="inlineStr">
        <is>
          <t>Transferências</t>
        </is>
      </c>
      <c r="AC1" s="85" t="inlineStr">
        <is>
          <t>SALDO</t>
        </is>
      </c>
    </row>
    <row r="2" customFormat="1" s="8">
      <c r="A2" s="5" t="inlineStr">
        <is>
          <t>Cliente</t>
        </is>
      </c>
      <c r="B2" s="11" t="inlineStr">
        <is>
          <t>Data do recibo de venda</t>
        </is>
      </c>
      <c r="C2" s="5" t="inlineStr">
        <is>
          <t>Conta</t>
        </is>
      </c>
      <c r="D2" s="5" t="inlineStr">
        <is>
          <t>Produto/Serviço</t>
        </is>
      </c>
      <c r="E2" s="5" t="inlineStr">
        <is>
          <t>Descrição</t>
        </is>
      </c>
      <c r="F2" s="86" t="inlineStr">
        <is>
          <t>Valor</t>
        </is>
      </c>
      <c r="G2" s="86" t="inlineStr">
        <is>
          <t>Desconto</t>
        </is>
      </c>
      <c r="H2" s="87" t="inlineStr">
        <is>
          <t>Saldo</t>
        </is>
      </c>
      <c r="I2" s="5" t="inlineStr">
        <is>
          <t>Local</t>
        </is>
      </c>
      <c r="J2" s="6" t="inlineStr">
        <is>
          <t>Conta</t>
        </is>
      </c>
      <c r="K2" s="6" t="inlineStr">
        <is>
          <t>Beneficiário</t>
        </is>
      </c>
      <c r="L2" s="13" t="inlineStr">
        <is>
          <t>Data do pagamento</t>
        </is>
      </c>
      <c r="M2" s="6" t="inlineStr">
        <is>
          <t>Categoria</t>
        </is>
      </c>
      <c r="N2" s="6" t="inlineStr">
        <is>
          <t>Descrição</t>
        </is>
      </c>
      <c r="O2" s="88" t="inlineStr">
        <is>
          <t>Valor</t>
        </is>
      </c>
      <c r="P2" s="6" t="inlineStr">
        <is>
          <t>Local</t>
        </is>
      </c>
      <c r="Q2" s="6" t="inlineStr">
        <is>
          <t>Centro de Custo</t>
        </is>
      </c>
      <c r="R2" s="7" t="inlineStr">
        <is>
          <t>Diário nº</t>
        </is>
      </c>
      <c r="S2" s="15" t="inlineStr">
        <is>
          <t>Data do lançamento</t>
        </is>
      </c>
      <c r="T2" s="7" t="inlineStr">
        <is>
          <t>Conta</t>
        </is>
      </c>
      <c r="U2" s="89" t="inlineStr">
        <is>
          <t>Débito</t>
        </is>
      </c>
      <c r="V2" s="89" t="inlineStr">
        <is>
          <t>Crédito</t>
        </is>
      </c>
      <c r="W2" s="26" t="inlineStr">
        <is>
          <t>Saldo</t>
        </is>
      </c>
      <c r="X2" s="7" t="inlineStr">
        <is>
          <t>Descrição</t>
        </is>
      </c>
      <c r="Y2" s="7" t="inlineStr">
        <is>
          <t>Nome</t>
        </is>
      </c>
      <c r="Z2" s="7" t="inlineStr">
        <is>
          <t>Local</t>
        </is>
      </c>
      <c r="AA2" s="7" t="inlineStr">
        <is>
          <t>Centro de Custo</t>
        </is>
      </c>
      <c r="AB2" s="84" t="n"/>
      <c r="AC2" s="85" t="n"/>
      <c r="AD2" s="8" t="inlineStr">
        <is>
          <t>&gt; SALDO INICIAL</t>
        </is>
      </c>
    </row>
    <row r="3">
      <c r="H3" s="79">
        <f>F3-G3</f>
        <v/>
      </c>
      <c r="W3" s="27">
        <f>IF(T3="Outros ativos circulantes:Adibras - Transitória de ativos",IF(U3&gt;0,U3,-V3))</f>
        <v/>
      </c>
      <c r="AC3" s="83">
        <f>AC2+H3-O3+W3-AB3</f>
        <v/>
      </c>
    </row>
    <row r="4">
      <c r="H4" s="79">
        <f>F4-G4</f>
        <v/>
      </c>
      <c r="W4" s="27">
        <f>IF(T4="Outros ativos circulantes:Adibras - Transitória de ativos",IF(U4&gt;0,U4,-V4))</f>
        <v/>
      </c>
      <c r="AC4" s="83">
        <f>AC3+H4-O4+W4-AB4</f>
        <v/>
      </c>
    </row>
    <row r="5">
      <c r="H5" s="79">
        <f>F5-G5</f>
        <v/>
      </c>
      <c r="W5" s="27">
        <f>IF(T5="Outros ativos circulantes:Adibras - Transitória de ativos",IF(U5&gt;0,U5,-V5))</f>
        <v/>
      </c>
      <c r="AC5" s="83">
        <f>AC4+H5-O5+W5-AB5</f>
        <v/>
      </c>
    </row>
    <row r="6">
      <c r="H6" s="79">
        <f>F6-G6</f>
        <v/>
      </c>
      <c r="W6" s="27">
        <f>IF(T6="Outros ativos circulantes:Adibras - Transitória de ativos",IF(U6&gt;0,U6,-V6))</f>
        <v/>
      </c>
      <c r="AC6" s="83">
        <f>AC5+H6-O6+W6-AB6</f>
        <v/>
      </c>
    </row>
    <row r="7">
      <c r="H7" s="79">
        <f>F7-G7</f>
        <v/>
      </c>
      <c r="W7" s="27">
        <f>IF(T7="Outros ativos circulantes:Adibras - Transitória de ativos",IF(U7&gt;0,U7,-V7))</f>
        <v/>
      </c>
      <c r="AC7" s="83">
        <f>AC6+H7-O7+W7-AB7</f>
        <v/>
      </c>
    </row>
    <row r="8">
      <c r="H8" s="79">
        <f>F8-G8</f>
        <v/>
      </c>
      <c r="W8" s="27">
        <f>IF(T8="Outros ativos circulantes:Adibras - Transitória de ativos",IF(U8&gt;0,U8,-V8))</f>
        <v/>
      </c>
      <c r="AB8" s="84" t="n"/>
      <c r="AC8" s="85">
        <f>AC7+H8-O8+W8-AB8</f>
        <v/>
      </c>
    </row>
    <row r="9">
      <c r="H9" s="79">
        <f>F9-G9</f>
        <v/>
      </c>
      <c r="W9" s="27">
        <f>IF(T9="Outros ativos circulantes:Adibras - Transitória de ativos",IF(U9&gt;0,U9,-V9))</f>
        <v/>
      </c>
      <c r="AC9" s="83">
        <f>AC8+H9-O9+W9-AB9</f>
        <v/>
      </c>
    </row>
    <row r="10">
      <c r="H10" s="79">
        <f>F10-G10</f>
        <v/>
      </c>
      <c r="W10" s="27">
        <f>IF(T10="Outros ativos circulantes:Adibras - Transitória de ativos",IF(U10&gt;0,U10,-V10))</f>
        <v/>
      </c>
      <c r="AC10" s="83">
        <f>AC9+H10-O10+W10-AB10</f>
        <v/>
      </c>
    </row>
    <row r="11">
      <c r="H11" s="79">
        <f>F11-G11</f>
        <v/>
      </c>
      <c r="W11" s="27">
        <f>IF(T11="Outros ativos circulantes:Adibras - Transitória de ativos",IF(U11&gt;0,U11,-V11))</f>
        <v/>
      </c>
      <c r="AC11" s="83">
        <f>AC10+H11-O11+W11-AB11</f>
        <v/>
      </c>
    </row>
    <row r="12">
      <c r="H12" s="79">
        <f>F12-G12</f>
        <v/>
      </c>
      <c r="W12" s="27">
        <f>IF(T12="Outros ativos circulantes:Adibras - Transitória de ativos",IF(U12&gt;0,U12,-V12))</f>
        <v/>
      </c>
      <c r="AC12" s="83">
        <f>AC11+H12-O12+W12-AB12</f>
        <v/>
      </c>
    </row>
    <row r="13">
      <c r="H13" s="79">
        <f>F13-G13</f>
        <v/>
      </c>
      <c r="W13" s="27">
        <f>IF(T13="Outros ativos circulantes:Adibras - Transitória de ativos",IF(U13&gt;0,U13,-V13))</f>
        <v/>
      </c>
      <c r="AC13" s="83">
        <f>AC12+H13-O13+W13-AB13</f>
        <v/>
      </c>
    </row>
    <row r="14">
      <c r="H14" s="79">
        <f>F14-G14</f>
        <v/>
      </c>
      <c r="W14" s="27">
        <f>IF(T14="Outros ativos circulantes:Adibras - Transitória de ativos",IF(U14&gt;0,U14,-V14))</f>
        <v/>
      </c>
      <c r="AC14" s="83">
        <f>AC13+H14-O14+W14-AB14</f>
        <v/>
      </c>
    </row>
    <row r="15">
      <c r="H15" s="79">
        <f>F15-G15</f>
        <v/>
      </c>
      <c r="W15" s="27">
        <f>IF(T15="Outros ativos circulantes:Adibras - Transitória de ativos",IF(U15&gt;0,U15,-V15))</f>
        <v/>
      </c>
      <c r="AB15" s="84" t="n"/>
      <c r="AC15" s="85">
        <f>AC14+H15-O15+W15-AB15</f>
        <v/>
      </c>
    </row>
    <row r="16">
      <c r="H16" s="79">
        <f>F16-G16</f>
        <v/>
      </c>
      <c r="W16" s="27">
        <f>IF(T16="Outros ativos circulantes:Adibras - Transitória de ativos",IF(U16&gt;0,U16,-V16))</f>
        <v/>
      </c>
      <c r="AC16" s="83">
        <f>AC15+H16-O16+W16-AB16</f>
        <v/>
      </c>
    </row>
    <row r="17">
      <c r="H17" s="79">
        <f>F17-G17</f>
        <v/>
      </c>
      <c r="W17" s="27">
        <f>IF(T17="Outros ativos circulantes:Adibras - Transitória de ativos",IF(U17&gt;0,U17,-V17))</f>
        <v/>
      </c>
      <c r="AC17" s="83">
        <f>AC16+H17-O17+W17-AB17</f>
        <v/>
      </c>
    </row>
    <row r="18">
      <c r="H18" s="79">
        <f>F18-G18</f>
        <v/>
      </c>
      <c r="W18" s="27">
        <f>IF(T18="Outros ativos circulantes:Adibras - Transitória de ativos",IF(U18&gt;0,U18,-V18))</f>
        <v/>
      </c>
      <c r="AC18" s="83">
        <f>AC17+H18-O18+W18-AB18</f>
        <v/>
      </c>
    </row>
    <row r="19">
      <c r="H19" s="79">
        <f>F19-G19</f>
        <v/>
      </c>
      <c r="W19" s="27">
        <f>IF(T19="Outros ativos circulantes:Adibras - Transitória de ativos",IF(U19&gt;0,U19,-V19))</f>
        <v/>
      </c>
      <c r="AC19" s="83">
        <f>AC18+H19-O19+W19-AB19</f>
        <v/>
      </c>
    </row>
    <row r="20">
      <c r="H20" s="79">
        <f>F20-G20</f>
        <v/>
      </c>
      <c r="W20" s="27">
        <f>IF(T20="Outros ativos circulantes:Adibras - Transitória de ativos",IF(U20&gt;0,U20,-V20))</f>
        <v/>
      </c>
      <c r="AC20" s="83">
        <f>AC19+H20-O20+W20-AB20</f>
        <v/>
      </c>
    </row>
    <row r="21">
      <c r="H21" s="79">
        <f>F21-G21</f>
        <v/>
      </c>
      <c r="W21" s="27">
        <f>IF(T21="Outros ativos circulantes:Adibras - Transitória de ativos",IF(U21&gt;0,U21,-V21))</f>
        <v/>
      </c>
      <c r="AC21" s="83">
        <f>AC20+H21-O21+W21-AB21</f>
        <v/>
      </c>
    </row>
    <row r="22">
      <c r="H22" s="79">
        <f>F22-G22</f>
        <v/>
      </c>
      <c r="W22" s="27">
        <f>IF(T22="Outros ativos circulantes:Adibras - Transitória de ativos",IF(U22&gt;0,U22,-V22))</f>
        <v/>
      </c>
      <c r="AC22" s="83">
        <f>AC21+H22-O22+W22-AB22</f>
        <v/>
      </c>
    </row>
    <row r="23">
      <c r="H23" s="79">
        <f>F23-G23</f>
        <v/>
      </c>
      <c r="W23" s="27">
        <f>IF(T23="Outros ativos circulantes:Adibras - Transitória de ativos",IF(U23&gt;0,U23,-V23))</f>
        <v/>
      </c>
      <c r="AC23" s="83">
        <f>AC22+H23-O23+W23-AB23</f>
        <v/>
      </c>
    </row>
    <row r="24">
      <c r="H24" s="79">
        <f>F24-G24</f>
        <v/>
      </c>
      <c r="W24" s="27">
        <f>IF(T24="Outros ativos circulantes:Adibras - Transitória de ativos",IF(U24&gt;0,U24,-V24))</f>
        <v/>
      </c>
      <c r="AC24" s="83">
        <f>AC23+H24-O24+W24-AB24</f>
        <v/>
      </c>
    </row>
    <row r="25">
      <c r="H25" s="79">
        <f>F25-G25</f>
        <v/>
      </c>
      <c r="W25" s="27">
        <f>IF(T25="Outros ativos circulantes:Adibras - Transitória de ativos",IF(U25&gt;0,U25,-V25))</f>
        <v/>
      </c>
      <c r="AC25" s="83">
        <f>AC24+H25-O25+W25-AB25</f>
        <v/>
      </c>
    </row>
    <row r="26">
      <c r="H26" s="79">
        <f>F26-G26</f>
        <v/>
      </c>
      <c r="W26" s="27">
        <f>IF(T26="Outros ativos circulantes:Adibras - Transitória de ativos",IF(U26&gt;0,U26,-V26))</f>
        <v/>
      </c>
      <c r="AC26" s="83">
        <f>AC25+H26-O26+W26-AB26</f>
        <v/>
      </c>
    </row>
    <row r="27">
      <c r="H27" s="79">
        <f>F27-G27</f>
        <v/>
      </c>
      <c r="W27" s="27">
        <f>IF(T27="Outros ativos circulantes:Adibras - Transitória de ativos",IF(U27&gt;0,U27,-V27))</f>
        <v/>
      </c>
      <c r="AC27" s="83">
        <f>AC26+H27-O27+W27-AB27</f>
        <v/>
      </c>
    </row>
    <row r="28">
      <c r="H28" s="79">
        <f>F28-G28</f>
        <v/>
      </c>
      <c r="W28" s="27">
        <f>IF(T28="Outros ativos circulantes:Adibras - Transitória de ativos",IF(U28&gt;0,U28,-V28))</f>
        <v/>
      </c>
      <c r="AC28" s="83">
        <f>AC27+H28-O28+W28-AB28</f>
        <v/>
      </c>
    </row>
    <row r="29">
      <c r="H29" s="79">
        <f>F29-G29</f>
        <v/>
      </c>
      <c r="W29" s="27">
        <f>IF(T29="Outros ativos circulantes:Adibras - Transitória de ativos",IF(U29&gt;0,U29,-V29))</f>
        <v/>
      </c>
      <c r="AC29" s="83">
        <f>AC28+H29-O29+W29-AB29</f>
        <v/>
      </c>
    </row>
    <row r="30">
      <c r="H30" s="79">
        <f>F30-G30</f>
        <v/>
      </c>
      <c r="W30" s="27">
        <f>IF(T30="Outros ativos circulantes:Adibras - Transitória de ativos",IF(U30&gt;0,U30,-V30))</f>
        <v/>
      </c>
      <c r="AC30" s="83">
        <f>AC29+H30-O30+W30-AB30</f>
        <v/>
      </c>
    </row>
    <row r="31">
      <c r="H31" s="79">
        <f>F31-G31</f>
        <v/>
      </c>
      <c r="W31" s="27">
        <f>IF(T31="Outros ativos circulantes:Adibras - Transitória de ativos",IF(U31&gt;0,U31,-V31))</f>
        <v/>
      </c>
      <c r="AC31" s="83">
        <f>AC30+H31-O31+W31-AB31</f>
        <v/>
      </c>
      <c r="AD31" s="90" t="n"/>
    </row>
    <row r="32">
      <c r="H32" s="79">
        <f>F32-G32</f>
        <v/>
      </c>
      <c r="W32" s="27">
        <f>IF(T32="Outros ativos circulantes:Adibras - Transitória de ativos",IF(U32&gt;0,U32,-V32))</f>
        <v/>
      </c>
      <c r="AB32" s="84" t="n"/>
      <c r="AC32" s="85">
        <f>AC31+H32-O32+W32-AB32</f>
        <v/>
      </c>
    </row>
    <row r="33">
      <c r="H33" s="79">
        <f>F33-G33</f>
        <v/>
      </c>
      <c r="W33" s="27">
        <f>IF(T33="Outros ativos circulantes:Adibras - Transitória de ativos",IF(U33&gt;0,U33,-V33))</f>
        <v/>
      </c>
      <c r="AC33" s="83">
        <f>AC32+H33-O33+W33-AB33</f>
        <v/>
      </c>
    </row>
    <row r="34">
      <c r="H34" s="79">
        <f>F34-G34</f>
        <v/>
      </c>
      <c r="W34" s="27">
        <f>IF(T34="Outros ativos circulantes:Adibras - Transitória de ativos",IF(U34&gt;0,U34,-V34))</f>
        <v/>
      </c>
      <c r="AC34" s="83">
        <f>AC33+H34-O34+W34-AB34</f>
        <v/>
      </c>
    </row>
    <row r="35">
      <c r="H35" s="79">
        <f>F35-G35</f>
        <v/>
      </c>
      <c r="W35" s="27">
        <f>IF(T35="Outros ativos circulantes:Adibras - Transitória de ativos",IF(U35&gt;0,U35,-V35))</f>
        <v/>
      </c>
      <c r="AC35" s="83">
        <f>AC34+H35-O35+W35-AB35</f>
        <v/>
      </c>
    </row>
    <row r="36">
      <c r="H36" s="79">
        <f>F36-G36</f>
        <v/>
      </c>
      <c r="W36" s="27">
        <f>IF(T36="Outros ativos circulantes:Adibras - Transitória de ativos",IF(U36&gt;0,U36,-V36))</f>
        <v/>
      </c>
      <c r="AC36" s="83">
        <f>AC35+H36-O36+W36-AB36</f>
        <v/>
      </c>
    </row>
    <row r="37">
      <c r="H37" s="79">
        <f>F37-G37</f>
        <v/>
      </c>
      <c r="W37" s="27">
        <f>IF(T37="Outros ativos circulantes:Adibras - Transitória de ativos",IF(U37&gt;0,U37,-V37))</f>
        <v/>
      </c>
      <c r="AC37" s="83">
        <f>AC36+H37-O37+W37-AB37</f>
        <v/>
      </c>
    </row>
    <row r="38">
      <c r="H38" s="79">
        <f>F38-G38</f>
        <v/>
      </c>
      <c r="W38" s="27">
        <f>IF(T38="Outros ativos circulantes:Adibras - Transitória de ativos",IF(U38&gt;0,U38,-V38))</f>
        <v/>
      </c>
      <c r="AC38" s="83">
        <f>AC37+H38-O38+W38-AB38</f>
        <v/>
      </c>
    </row>
    <row r="39">
      <c r="H39" s="79">
        <f>F39-G39</f>
        <v/>
      </c>
      <c r="W39" s="27">
        <f>IF(T39="Outros ativos circulantes:Adibras - Transitória de ativos",IF(U39&gt;0,U39,-V39))</f>
        <v/>
      </c>
      <c r="AC39" s="83">
        <f>AC38+H39-O39+W39-AB39</f>
        <v/>
      </c>
    </row>
    <row r="40">
      <c r="H40" s="79">
        <f>F40-G40</f>
        <v/>
      </c>
      <c r="W40" s="27">
        <f>IF(T40="Outros ativos circulantes:Adibras - Transitória de ativos",IF(U40&gt;0,U40,-V40))</f>
        <v/>
      </c>
      <c r="AC40" s="83">
        <f>AC39+H40-O40+W40-AB40</f>
        <v/>
      </c>
    </row>
    <row r="41">
      <c r="H41" s="79">
        <f>F41-G41</f>
        <v/>
      </c>
      <c r="W41" s="27">
        <f>IF(T41="Outros ativos circulantes:Adibras - Transitória de ativos",IF(U41&gt;0,U41,-V41))</f>
        <v/>
      </c>
      <c r="AC41" s="83">
        <f>AC40+H41-O41+W41-AB41</f>
        <v/>
      </c>
    </row>
    <row r="42">
      <c r="H42" s="79">
        <f>F42-G42</f>
        <v/>
      </c>
      <c r="W42" s="27">
        <f>IF(T42="Outros ativos circulantes:Adibras - Transitória de ativos",IF(U42&gt;0,U42,-V42))</f>
        <v/>
      </c>
      <c r="AC42" s="83">
        <f>AC41+H42-O42+W42-AB42</f>
        <v/>
      </c>
    </row>
    <row r="43">
      <c r="H43" s="79">
        <f>F43-G43</f>
        <v/>
      </c>
      <c r="W43" s="27">
        <f>IF(T43="Outros ativos circulantes:Adibras - Transitória de ativos",IF(U43&gt;0,U43,-V43))</f>
        <v/>
      </c>
      <c r="AC43" s="83">
        <f>AC42+H43-O43+W43-AB43</f>
        <v/>
      </c>
    </row>
    <row r="44">
      <c r="H44" s="79">
        <f>F44-G44</f>
        <v/>
      </c>
      <c r="W44" s="27">
        <f>IF(T44="Outros ativos circulantes:Adibras - Transitória de ativos",IF(U44&gt;0,U44,-V44))</f>
        <v/>
      </c>
      <c r="AC44" s="83">
        <f>AC43+H44-O44+W44-AB44</f>
        <v/>
      </c>
    </row>
    <row r="45">
      <c r="H45" s="79">
        <f>F45-G45</f>
        <v/>
      </c>
      <c r="W45" s="27">
        <f>IF(T45="Outros ativos circulantes:Adibras - Transitória de ativos",IF(U45&gt;0,U45,-V45))</f>
        <v/>
      </c>
      <c r="AC45" s="83">
        <f>AC44+H45-O45+W45-AB45</f>
        <v/>
      </c>
    </row>
    <row r="46">
      <c r="H46" s="79">
        <f>F46-G46</f>
        <v/>
      </c>
      <c r="W46" s="27">
        <f>IF(T46="Outros ativos circulantes:Adibras - Transitória de ativos",IF(U46&gt;0,U46,-V46))</f>
        <v/>
      </c>
      <c r="AC46" s="83">
        <f>AC45+H46-O46+W46-AB46</f>
        <v/>
      </c>
    </row>
    <row r="47">
      <c r="H47" s="79">
        <f>F47-G47</f>
        <v/>
      </c>
      <c r="W47" s="27">
        <f>IF(T47="Outros ativos circulantes:Adibras - Transitória de ativos",IF(U47&gt;0,U47,-V47))</f>
        <v/>
      </c>
      <c r="AC47" s="83">
        <f>AC46+H47-O47+W47-AB47</f>
        <v/>
      </c>
    </row>
    <row r="48">
      <c r="H48" s="79">
        <f>F48-G48</f>
        <v/>
      </c>
      <c r="W48" s="27">
        <f>IF(T48="Outros ativos circulantes:Adibras - Transitória de ativos",IF(U48&gt;0,U48,-V48))</f>
        <v/>
      </c>
      <c r="AC48" s="83">
        <f>AC47+H48-O48+W48-AB48</f>
        <v/>
      </c>
    </row>
    <row r="49">
      <c r="H49" s="79">
        <f>F49-G49</f>
        <v/>
      </c>
      <c r="W49" s="27">
        <f>IF(T49="Outros ativos circulantes:Adibras - Transitória de ativos",IF(U49&gt;0,U49,-V49))</f>
        <v/>
      </c>
      <c r="AC49" s="83">
        <f>AC48+H49-O49+W49-AB49</f>
        <v/>
      </c>
    </row>
    <row r="50">
      <c r="H50" s="79">
        <f>F50-G50</f>
        <v/>
      </c>
      <c r="W50" s="27">
        <f>IF(T50="Outros ativos circulantes:Adibras - Transitória de ativos",IF(U50&gt;0,U50,-V50))</f>
        <v/>
      </c>
      <c r="AC50" s="83">
        <f>AC49+H50-O50+W50-AB50</f>
        <v/>
      </c>
    </row>
    <row r="51">
      <c r="H51" s="79">
        <f>F51-G51</f>
        <v/>
      </c>
      <c r="W51" s="27">
        <f>IF(T51="Outros ativos circulantes:Adibras - Transitória de ativos",IF(U51&gt;0,U51,-V51))</f>
        <v/>
      </c>
      <c r="AC51" s="83">
        <f>AC50+H51-O51+W51-AB51</f>
        <v/>
      </c>
    </row>
    <row r="52">
      <c r="H52" s="79">
        <f>F52-G52</f>
        <v/>
      </c>
      <c r="W52" s="27">
        <f>IF(T52="Outros ativos circulantes:Adibras - Transitória de ativos",IF(U52&gt;0,U52,-V52))</f>
        <v/>
      </c>
      <c r="AC52" s="83">
        <f>AC51+H52-O52+W52-AB52</f>
        <v/>
      </c>
    </row>
    <row r="53">
      <c r="H53" s="79">
        <f>F53-G53</f>
        <v/>
      </c>
      <c r="W53" s="27">
        <f>IF(T53="Outros ativos circulantes:Adibras - Transitória de ativos",IF(U53&gt;0,U53,-V53))</f>
        <v/>
      </c>
      <c r="AC53" s="83">
        <f>AC52+H53-O53+W53-AB53</f>
        <v/>
      </c>
    </row>
    <row r="54">
      <c r="H54" s="79">
        <f>F54-G54</f>
        <v/>
      </c>
      <c r="W54" s="27">
        <f>IF(T54="Outros ativos circulantes:Adibras - Transitória de ativos",IF(U54&gt;0,U54,-V54))</f>
        <v/>
      </c>
      <c r="AC54" s="83">
        <f>AC53+H54-O54+W54-AB54</f>
        <v/>
      </c>
    </row>
    <row r="55">
      <c r="H55" s="79">
        <f>F55-G55</f>
        <v/>
      </c>
      <c r="W55" s="27">
        <f>IF(T55="Outros ativos circulantes:Adibras - Transitória de ativos",IF(U55&gt;0,U55,-V55))</f>
        <v/>
      </c>
      <c r="AC55" s="83">
        <f>AC54+H55-O55+W55-AB55</f>
        <v/>
      </c>
    </row>
    <row r="56">
      <c r="H56" s="79">
        <f>F56-G56</f>
        <v/>
      </c>
      <c r="W56" s="27">
        <f>IF(T56="Outros ativos circulantes:Adibras - Transitória de ativos",IF(U56&gt;0,U56,-V56))</f>
        <v/>
      </c>
      <c r="AC56" s="83">
        <f>AC55+H56-O56+W56-AB56</f>
        <v/>
      </c>
    </row>
    <row r="57">
      <c r="H57" s="79">
        <f>F57-G57</f>
        <v/>
      </c>
      <c r="W57" s="27">
        <f>IF(T57="Outros ativos circulantes:Adibras - Transitória de ativos",IF(U57&gt;0,U57,-V57))</f>
        <v/>
      </c>
      <c r="AC57" s="83">
        <f>AC56+H57-O57+W57-AB57</f>
        <v/>
      </c>
    </row>
    <row r="58">
      <c r="H58" s="79">
        <f>F58-G58</f>
        <v/>
      </c>
      <c r="W58" s="27">
        <f>IF(T58="Outros ativos circulantes:Adibras - Transitória de ativos",IF(U58&gt;0,U58,-V58))</f>
        <v/>
      </c>
      <c r="AC58" s="83">
        <f>AC57+H58-O58+W58-AB58</f>
        <v/>
      </c>
    </row>
    <row r="59">
      <c r="H59" s="79">
        <f>F59-G59</f>
        <v/>
      </c>
      <c r="W59" s="27">
        <f>IF(T59="Outros ativos circulantes:Adibras - Transitória de ativos",IF(U59&gt;0,U59,-V59))</f>
        <v/>
      </c>
      <c r="AC59" s="83">
        <f>AC58+H59-O59+W59-AB59</f>
        <v/>
      </c>
    </row>
    <row r="60">
      <c r="H60" s="79">
        <f>F60-G60</f>
        <v/>
      </c>
      <c r="W60" s="27">
        <f>IF(T60="Outros ativos circulantes:Adibras - Transitória de ativos",IF(U60&gt;0,U60,-V60))</f>
        <v/>
      </c>
      <c r="AC60" s="83">
        <f>AC59+H60-O60+W60-AB60</f>
        <v/>
      </c>
    </row>
    <row r="61">
      <c r="H61" s="79">
        <f>F61-G61</f>
        <v/>
      </c>
      <c r="W61" s="27">
        <f>IF(T61="Outros ativos circulantes:Adibras - Transitória de ativos",IF(U61&gt;0,U61,-V61))</f>
        <v/>
      </c>
      <c r="AB61" s="84" t="n"/>
      <c r="AC61" s="85">
        <f>AC60+H61-O61+W61-AB61</f>
        <v/>
      </c>
      <c r="AD61" s="90" t="n"/>
    </row>
    <row r="62">
      <c r="H62" s="79">
        <f>F62-G62</f>
        <v/>
      </c>
      <c r="W62" s="27">
        <f>IF(T62="Outros ativos circulantes:Adibras - Transitória de ativos",IF(U62&gt;0,U62,-V62))</f>
        <v/>
      </c>
      <c r="AC62" s="83">
        <f>AC61+H62-O62+W62-AB62</f>
        <v/>
      </c>
    </row>
    <row r="63">
      <c r="H63" s="79">
        <f>F63-G63</f>
        <v/>
      </c>
      <c r="W63" s="27">
        <f>IF(T63="Outros ativos circulantes:Adibras - Transitória de ativos",IF(U63&gt;0,U63,-V63))</f>
        <v/>
      </c>
      <c r="AC63" s="83">
        <f>AC62+H63-O63+W63-AB63</f>
        <v/>
      </c>
    </row>
    <row r="64">
      <c r="H64" s="79">
        <f>F64-G64</f>
        <v/>
      </c>
      <c r="W64" s="27">
        <f>IF(T64="Outros ativos circulantes:Adibras - Transitória de ativos",IF(U64&gt;0,U64,-V64))</f>
        <v/>
      </c>
      <c r="AC64" s="83">
        <f>AC63+H64-O64+W64-AB64</f>
        <v/>
      </c>
    </row>
    <row r="65">
      <c r="H65" s="79">
        <f>F65-G65</f>
        <v/>
      </c>
      <c r="W65" s="27">
        <f>IF(T65="Outros ativos circulantes:Adibras - Transitória de ativos",IF(U65&gt;0,U65,-V65))</f>
        <v/>
      </c>
      <c r="AC65" s="83">
        <f>AC64+H65-O65+W65-AB65</f>
        <v/>
      </c>
    </row>
    <row r="66">
      <c r="H66" s="79">
        <f>F66-G66</f>
        <v/>
      </c>
      <c r="W66" s="27">
        <f>IF(T66="Outros ativos circulantes:Adibras - Transitória de ativos",IF(U66&gt;0,U66,-V66))</f>
        <v/>
      </c>
      <c r="AC66" s="83">
        <f>AC65+H66-O66+W66-AB66</f>
        <v/>
      </c>
    </row>
    <row r="67">
      <c r="H67" s="79">
        <f>F67-G67</f>
        <v/>
      </c>
      <c r="W67" s="27">
        <f>IF(T67="Outros ativos circulantes:Adibras - Transitória de ativos",IF(U67&gt;0,U67,-V67))</f>
        <v/>
      </c>
      <c r="AC67" s="83">
        <f>AC66+H67-O67+W67-AB67</f>
        <v/>
      </c>
    </row>
    <row r="68">
      <c r="H68" s="79">
        <f>F68-G68</f>
        <v/>
      </c>
      <c r="W68" s="27">
        <f>IF(T68="Outros ativos circulantes:Adibras - Transitória de ativos",IF(U68&gt;0,U68,-V68))</f>
        <v/>
      </c>
      <c r="AC68" s="83">
        <f>AC67+H68-O68+W68-AB68</f>
        <v/>
      </c>
    </row>
    <row r="69">
      <c r="H69" s="79">
        <f>F69-G69</f>
        <v/>
      </c>
      <c r="W69" s="27">
        <f>IF(T69="Outros ativos circulantes:Adibras - Transitória de ativos",IF(U69&gt;0,U69,-V69))</f>
        <v/>
      </c>
      <c r="AC69" s="83">
        <f>AC68+H69-O69+W69-AB69</f>
        <v/>
      </c>
    </row>
    <row r="70">
      <c r="H70" s="79">
        <f>F70-G70</f>
        <v/>
      </c>
      <c r="W70" s="27">
        <f>IF(T70="Outros ativos circulantes:Adibras - Transitória de ativos",IF(U70&gt;0,U70,-V70))</f>
        <v/>
      </c>
      <c r="AC70" s="83">
        <f>AC69+H70-O70+W70-AB70</f>
        <v/>
      </c>
    </row>
    <row r="71">
      <c r="H71" s="79">
        <f>F71-G71</f>
        <v/>
      </c>
      <c r="W71" s="27">
        <f>IF(T71="Outros ativos circulantes:Adibras - Transitória de ativos",IF(U71&gt;0,U71,-V71))</f>
        <v/>
      </c>
      <c r="AC71" s="83">
        <f>AC70+H71-O71+W71-AB71</f>
        <v/>
      </c>
    </row>
    <row r="72">
      <c r="H72" s="79">
        <f>F72-G72</f>
        <v/>
      </c>
      <c r="W72" s="27">
        <f>IF(T72="Outros ativos circulantes:Adibras - Transitória de ativos",IF(U72&gt;0,U72,-V72))</f>
        <v/>
      </c>
      <c r="AC72" s="83">
        <f>AC71+H72-O72+W72-AB72</f>
        <v/>
      </c>
    </row>
    <row r="73">
      <c r="H73" s="79">
        <f>F73-G73</f>
        <v/>
      </c>
      <c r="W73" s="27">
        <f>IF(T73="Outros ativos circulantes:Adibras - Transitória de ativos",IF(U73&gt;0,U73,-V73))</f>
        <v/>
      </c>
      <c r="AC73" s="83">
        <f>AC72+H73-O73+W73-AB73</f>
        <v/>
      </c>
    </row>
    <row r="74">
      <c r="H74" s="79">
        <f>F74-G74</f>
        <v/>
      </c>
      <c r="W74" s="27">
        <f>IF(T74="Outros ativos circulantes:Adibras - Transitória de ativos",IF(U74&gt;0,U74,-V74))</f>
        <v/>
      </c>
      <c r="AC74" s="83">
        <f>AC73+H74-O74+W74-AB74</f>
        <v/>
      </c>
    </row>
    <row r="75">
      <c r="H75" s="79">
        <f>F75-G75</f>
        <v/>
      </c>
      <c r="W75" s="27">
        <f>IF(T75="Outros ativos circulantes:Adibras - Transitória de ativos",IF(U75&gt;0,U75,-V75))</f>
        <v/>
      </c>
      <c r="AC75" s="83">
        <f>AC74+H75-O75+W75-AB75</f>
        <v/>
      </c>
    </row>
    <row r="76">
      <c r="H76" s="79">
        <f>F76-G76</f>
        <v/>
      </c>
      <c r="W76" s="27">
        <f>IF(T76="Outros ativos circulantes:Adibras - Transitória de ativos",IF(U76&gt;0,U76,-V76))</f>
        <v/>
      </c>
      <c r="AC76" s="83">
        <f>AC75+H76-O76+W76-AB76</f>
        <v/>
      </c>
    </row>
    <row r="77">
      <c r="H77" s="79">
        <f>F77-G77</f>
        <v/>
      </c>
      <c r="W77" s="27">
        <f>IF(T77="Outros ativos circulantes:Adibras - Transitória de ativos",IF(U77&gt;0,U77,-V77))</f>
        <v/>
      </c>
      <c r="AC77" s="83">
        <f>AC76+H77-O77+W77-AB77</f>
        <v/>
      </c>
    </row>
    <row r="78">
      <c r="H78" s="79">
        <f>F78-G78</f>
        <v/>
      </c>
      <c r="W78" s="27">
        <f>IF(T78="Outros ativos circulantes:Adibras - Transitória de ativos",IF(U78&gt;0,U78,-V78))</f>
        <v/>
      </c>
      <c r="AC78" s="83">
        <f>AC77+H78-O78+W78-AB78</f>
        <v/>
      </c>
    </row>
    <row r="79">
      <c r="H79" s="79">
        <f>F79-G79</f>
        <v/>
      </c>
      <c r="W79" s="27">
        <f>IF(T79="Outros ativos circulantes:Adibras - Transitória de ativos",IF(U79&gt;0,U79,-V79))</f>
        <v/>
      </c>
      <c r="AC79" s="83">
        <f>AC78+H79-O79+W79-AB79</f>
        <v/>
      </c>
    </row>
    <row r="80">
      <c r="H80" s="79">
        <f>F80-G80</f>
        <v/>
      </c>
      <c r="W80" s="27">
        <f>IF(T80="Outros ativos circulantes:Adibras - Transitória de ativos",IF(U80&gt;0,U80,-V80))</f>
        <v/>
      </c>
      <c r="AC80" s="83">
        <f>AC79+H80-O80+W80-AB80</f>
        <v/>
      </c>
    </row>
    <row r="81">
      <c r="H81" s="79">
        <f>F81-G81</f>
        <v/>
      </c>
      <c r="W81" s="27">
        <f>IF(T81="Outros ativos circulantes:Adibras - Transitória de ativos",IF(U81&gt;0,U81,-V81))</f>
        <v/>
      </c>
      <c r="AC81" s="83">
        <f>AC80+H81-O81+W81-AB81</f>
        <v/>
      </c>
    </row>
    <row r="82">
      <c r="H82" s="79">
        <f>F82-G82</f>
        <v/>
      </c>
      <c r="W82" s="27">
        <f>IF(T82="Outros ativos circulantes:Adibras - Transitória de ativos",IF(U82&gt;0,U82,-V82))</f>
        <v/>
      </c>
      <c r="AC82" s="83">
        <f>AC81+H82-O82+W82-AB82</f>
        <v/>
      </c>
    </row>
    <row r="83">
      <c r="H83" s="79">
        <f>F83-G83</f>
        <v/>
      </c>
      <c r="W83" s="27">
        <f>IF(T83="Outros ativos circulantes:Adibras - Transitória de ativos",IF(U83&gt;0,U83,-V83))</f>
        <v/>
      </c>
      <c r="AC83" s="83">
        <f>AC82+H83-O83+W83-AB83</f>
        <v/>
      </c>
    </row>
    <row r="84">
      <c r="H84" s="79">
        <f>F84-G84</f>
        <v/>
      </c>
      <c r="W84" s="27">
        <f>IF(T84="Outros ativos circulantes:Adibras - Transitória de ativos",IF(U84&gt;0,U84,-V84))</f>
        <v/>
      </c>
      <c r="AC84" s="83">
        <f>AC83+H84-O84+W84-AB84</f>
        <v/>
      </c>
    </row>
    <row r="85">
      <c r="H85" s="79">
        <f>F85-G85</f>
        <v/>
      </c>
      <c r="W85" s="27">
        <f>IF(T85="Outros ativos circulantes:Adibras - Transitória de ativos",IF(U85&gt;0,U85,-V85))</f>
        <v/>
      </c>
      <c r="AC85" s="83">
        <f>AC84+H85-O85+W85-AB85</f>
        <v/>
      </c>
    </row>
    <row r="86">
      <c r="H86" s="79">
        <f>F86-G86</f>
        <v/>
      </c>
      <c r="W86" s="27">
        <f>IF(T86="Outros ativos circulantes:Adibras - Transitória de ativos",IF(U86&gt;0,U86,-V86))</f>
        <v/>
      </c>
      <c r="AC86" s="83">
        <f>AC85+H86-O86+W86-AB86</f>
        <v/>
      </c>
    </row>
    <row r="87">
      <c r="H87" s="79">
        <f>F87-G87</f>
        <v/>
      </c>
      <c r="W87" s="27">
        <f>IF(T87="Outros ativos circulantes:Adibras - Transitória de ativos",IF(U87&gt;0,U87,-V87))</f>
        <v/>
      </c>
      <c r="AC87" s="83">
        <f>AC86+H87-O87+W87-AB87</f>
        <v/>
      </c>
    </row>
    <row r="88">
      <c r="H88" s="79">
        <f>F88-G88</f>
        <v/>
      </c>
      <c r="W88" s="27">
        <f>IF(T88="Outros ativos circulantes:Adibras - Transitória de ativos",IF(U88&gt;0,U88,-V88))</f>
        <v/>
      </c>
      <c r="AC88" s="83">
        <f>AC87+H88-O88+W88-AB88</f>
        <v/>
      </c>
    </row>
    <row r="89">
      <c r="H89" s="79">
        <f>F89-G89</f>
        <v/>
      </c>
      <c r="W89" s="27">
        <f>IF(T89="Outros ativos circulantes:Adibras - Transitória de ativos",IF(U89&gt;0,U89,-V89))</f>
        <v/>
      </c>
      <c r="AB89" s="84" t="n"/>
      <c r="AC89" s="85">
        <f>AC88+H89-O89+W89-AB89</f>
        <v/>
      </c>
      <c r="AD89" s="90" t="n"/>
    </row>
    <row r="90">
      <c r="H90" s="79">
        <f>F90-G90</f>
        <v/>
      </c>
      <c r="W90" s="27">
        <f>IF(T90="Outros ativos circulantes:Adibras - Transitória de ativos",IF(U90&gt;0,U90,-V90))</f>
        <v/>
      </c>
      <c r="AC90" s="83">
        <f>AC89+H90-O90+W90-AB90</f>
        <v/>
      </c>
    </row>
    <row r="91">
      <c r="H91" s="79">
        <f>F91-G91</f>
        <v/>
      </c>
      <c r="W91" s="27">
        <f>IF(T91="Outros ativos circulantes:Adibras - Transitória de ativos",IF(U91&gt;0,U91,-V91))</f>
        <v/>
      </c>
      <c r="AC91" s="83">
        <f>AC90+H91-O91+W91-AB91</f>
        <v/>
      </c>
    </row>
    <row r="92">
      <c r="H92" s="79">
        <f>F92-G92</f>
        <v/>
      </c>
      <c r="W92" s="27">
        <f>IF(T92="Outros ativos circulantes:Adibras - Transitória de ativos",IF(U92&gt;0,U92,-V92))</f>
        <v/>
      </c>
      <c r="AC92" s="83">
        <f>AC91+H92-O92+W92-AB92</f>
        <v/>
      </c>
    </row>
    <row r="93">
      <c r="H93" s="79">
        <f>F93-G93</f>
        <v/>
      </c>
      <c r="W93" s="27">
        <f>IF(T93="Outros ativos circulantes:Adibras - Transitória de ativos",IF(U93&gt;0,U93,-V93))</f>
        <v/>
      </c>
      <c r="AC93" s="83">
        <f>AC92+H93-O93+W93-AB93</f>
        <v/>
      </c>
    </row>
    <row r="94">
      <c r="H94" s="79">
        <f>F94-G94</f>
        <v/>
      </c>
      <c r="W94" s="27">
        <f>IF(T94="Outros ativos circulantes:Adibras - Transitória de ativos",IF(U94&gt;0,U94,-V94))</f>
        <v/>
      </c>
      <c r="AC94" s="83">
        <f>AC93+H94-O94+W94-AB94</f>
        <v/>
      </c>
    </row>
    <row r="95">
      <c r="H95" s="79">
        <f>F95-G95</f>
        <v/>
      </c>
      <c r="W95" s="27">
        <f>IF(T95="Outros ativos circulantes:Adibras - Transitória de ativos",IF(U95&gt;0,U95,-V95))</f>
        <v/>
      </c>
      <c r="AC95" s="83">
        <f>AC94+H95-O95+W95-AB95</f>
        <v/>
      </c>
    </row>
    <row r="96">
      <c r="H96" s="79">
        <f>F96-G96</f>
        <v/>
      </c>
      <c r="W96" s="27">
        <f>IF(T96="Outros ativos circulantes:Adibras - Transitória de ativos",IF(U96&gt;0,U96,-V96))</f>
        <v/>
      </c>
      <c r="AB96" s="84" t="n"/>
      <c r="AC96" s="85">
        <f>AC95+H96-O96+W96-AB96</f>
        <v/>
      </c>
    </row>
    <row r="97">
      <c r="H97" s="79">
        <f>F97-G97</f>
        <v/>
      </c>
      <c r="W97" s="27">
        <f>IF(T97="Outros ativos circulantes:Adibras - Transitória de ativos",IF(U97&gt;0,U97,-V97))</f>
        <v/>
      </c>
      <c r="AC97" s="83">
        <f>AC96+H97-O97+W97-AB97</f>
        <v/>
      </c>
    </row>
    <row r="98">
      <c r="H98" s="79">
        <f>F98-G98</f>
        <v/>
      </c>
      <c r="W98" s="27">
        <f>IF(T98="Outros ativos circulantes:Adibras - Transitória de ativos",IF(U98&gt;0,U98,-V98))</f>
        <v/>
      </c>
      <c r="AC98" s="83">
        <f>AC97+H98-O98+W98-AB98</f>
        <v/>
      </c>
    </row>
    <row r="99">
      <c r="H99" s="79">
        <f>F99-G99</f>
        <v/>
      </c>
      <c r="W99" s="27">
        <f>IF(T99="Outros ativos circulantes:Adibras - Transitória de ativos",IF(U99&gt;0,U99,-V99))</f>
        <v/>
      </c>
      <c r="AC99" s="83">
        <f>AC98+H99-O99+W99-AB99</f>
        <v/>
      </c>
    </row>
    <row r="100">
      <c r="H100" s="79">
        <f>F100-G100</f>
        <v/>
      </c>
      <c r="W100" s="27">
        <f>IF(T100="Outros ativos circulantes:Adibras - Transitória de ativos",IF(U100&gt;0,U100,-V100))</f>
        <v/>
      </c>
      <c r="AC100" s="83">
        <f>AC99+H100-O100+W100-AB100</f>
        <v/>
      </c>
    </row>
    <row r="101">
      <c r="H101" s="79">
        <f>F101-G101</f>
        <v/>
      </c>
      <c r="W101" s="27">
        <f>IF(T101="Outros ativos circulantes:Adibras - Transitória de ativos",IF(U101&gt;0,U101,-V101))</f>
        <v/>
      </c>
      <c r="AC101" s="83">
        <f>AC100+H101-O101+W101-AB101</f>
        <v/>
      </c>
    </row>
    <row r="102">
      <c r="H102" s="79">
        <f>F102-G102</f>
        <v/>
      </c>
      <c r="W102" s="27">
        <f>IF(T102="Outros ativos circulantes:Adibras - Transitória de ativos",IF(U102&gt;0,U102,-V102))</f>
        <v/>
      </c>
      <c r="AC102" s="83">
        <f>AC101+H102-O102+W102-AB102</f>
        <v/>
      </c>
    </row>
    <row r="103">
      <c r="H103" s="79">
        <f>F103-G103</f>
        <v/>
      </c>
      <c r="W103" s="27">
        <f>IF(T103="Outros ativos circulantes:Adibras - Transitória de ativos",IF(U103&gt;0,U103,-V103))</f>
        <v/>
      </c>
      <c r="AC103" s="83">
        <f>AC102+H103-O103+W103-AB103</f>
        <v/>
      </c>
    </row>
    <row r="104">
      <c r="H104" s="79">
        <f>F104-G104</f>
        <v/>
      </c>
      <c r="W104" s="27">
        <f>IF(T104="Outros ativos circulantes:Adibras - Transitória de ativos",IF(U104&gt;0,U104,-V104))</f>
        <v/>
      </c>
      <c r="AC104" s="83">
        <f>AC103+H104-O104+W104-AB104</f>
        <v/>
      </c>
    </row>
    <row r="105">
      <c r="H105" s="79">
        <f>F105-G105</f>
        <v/>
      </c>
      <c r="W105" s="27">
        <f>IF(T105="Outros ativos circulantes:Adibras - Transitória de ativos",IF(U105&gt;0,U105,-V105))</f>
        <v/>
      </c>
      <c r="AC105" s="83">
        <f>AC104+H105-O105+W105-AB105</f>
        <v/>
      </c>
    </row>
    <row r="106">
      <c r="H106" s="79">
        <f>F106-G106</f>
        <v/>
      </c>
      <c r="W106" s="27">
        <f>IF(T106="Outros ativos circulantes:Adibras - Transitória de ativos",IF(U106&gt;0,U106,-V106))</f>
        <v/>
      </c>
      <c r="AC106" s="83">
        <f>AC105+H106-O106+W106-AB106</f>
        <v/>
      </c>
    </row>
    <row r="107">
      <c r="H107" s="79">
        <f>F107-G107</f>
        <v/>
      </c>
      <c r="W107" s="27">
        <f>IF(T107="Outros ativos circulantes:Adibras - Transitória de ativos",IF(U107&gt;0,U107,-V107))</f>
        <v/>
      </c>
      <c r="AC107" s="83">
        <f>AC106+H107-O107+W107-AB107</f>
        <v/>
      </c>
    </row>
    <row r="108">
      <c r="H108" s="79">
        <f>F108-G108</f>
        <v/>
      </c>
      <c r="W108" s="27">
        <f>IF(T108="Outros ativos circulantes:Adibras - Transitória de ativos",IF(U108&gt;0,U108,-V108))</f>
        <v/>
      </c>
      <c r="AC108" s="83">
        <f>AC107+H108-O108+W108-AB108</f>
        <v/>
      </c>
    </row>
    <row r="109">
      <c r="H109" s="79">
        <f>F109-G109</f>
        <v/>
      </c>
      <c r="W109" s="27">
        <f>IF(T109="Outros ativos circulantes:Adibras - Transitória de ativos",IF(U109&gt;0,U109,-V109))</f>
        <v/>
      </c>
      <c r="AC109" s="83">
        <f>AC108+H109-O109+W109-AB109</f>
        <v/>
      </c>
    </row>
    <row r="110">
      <c r="H110" s="79">
        <f>F110-G110</f>
        <v/>
      </c>
      <c r="W110" s="27">
        <f>IF(T110="Outros ativos circulantes:Adibras - Transitória de ativos",IF(U110&gt;0,U110,-V110))</f>
        <v/>
      </c>
      <c r="AC110" s="83">
        <f>AC109+H110-O110+W110-AB110</f>
        <v/>
      </c>
    </row>
    <row r="111">
      <c r="H111" s="79">
        <f>F111-G111</f>
        <v/>
      </c>
      <c r="W111" s="27">
        <f>IF(T111="Outros ativos circulantes:Adibras - Transitória de ativos",IF(U111&gt;0,U111,-V111))</f>
        <v/>
      </c>
      <c r="AC111" s="83">
        <f>AC110+H111-O111+W111-AB111</f>
        <v/>
      </c>
    </row>
    <row r="112">
      <c r="H112" s="79">
        <f>F112-G112</f>
        <v/>
      </c>
      <c r="W112" s="27">
        <f>IF(T112="Outros ativos circulantes:Adibras - Transitória de ativos",IF(U112&gt;0,U112,-V112))</f>
        <v/>
      </c>
      <c r="AC112" s="83">
        <f>AC111+H112-O112+W112-AB112</f>
        <v/>
      </c>
    </row>
    <row r="113">
      <c r="H113" s="79">
        <f>F113-G113</f>
        <v/>
      </c>
      <c r="W113" s="27">
        <f>IF(T113="Outros ativos circulantes:Adibras - Transitória de ativos",IF(U113&gt;0,U113,-V113))</f>
        <v/>
      </c>
      <c r="AC113" s="83">
        <f>AC112+H113-O113+W113-AB113</f>
        <v/>
      </c>
    </row>
    <row r="114">
      <c r="H114" s="79">
        <f>F114-G114</f>
        <v/>
      </c>
      <c r="W114" s="27">
        <f>IF(T114="Outros ativos circulantes:Adibras - Transitória de ativos",IF(U114&gt;0,U114,-V114))</f>
        <v/>
      </c>
      <c r="AC114" s="83">
        <f>AC113+H114-O114+W114-AB114</f>
        <v/>
      </c>
    </row>
    <row r="115">
      <c r="H115" s="79">
        <f>F115-G115</f>
        <v/>
      </c>
      <c r="W115" s="27">
        <f>IF(T115="Outros ativos circulantes:Adibras - Transitória de ativos",IF(U115&gt;0,U115,-V115))</f>
        <v/>
      </c>
      <c r="AC115" s="83">
        <f>AC114+H115-O115+W115-AB115</f>
        <v/>
      </c>
    </row>
    <row r="116">
      <c r="H116" s="79">
        <f>F116-G116</f>
        <v/>
      </c>
      <c r="W116" s="27">
        <f>IF(T116="Outros ativos circulantes:Adibras - Transitória de ativos",IF(U116&gt;0,U116,-V116))</f>
        <v/>
      </c>
      <c r="AC116" s="83">
        <f>AC115+H116-O116+W116-AB116</f>
        <v/>
      </c>
    </row>
    <row r="117">
      <c r="H117" s="79">
        <f>F117-G117</f>
        <v/>
      </c>
      <c r="W117" s="27">
        <f>IF(T117="Outros ativos circulantes:Adibras - Transitória de ativos",IF(U117&gt;0,U117,-V117))</f>
        <v/>
      </c>
      <c r="AC117" s="83">
        <f>AC116+H117-O117+W117-AB117</f>
        <v/>
      </c>
    </row>
    <row r="118">
      <c r="H118" s="79">
        <f>F118-G118</f>
        <v/>
      </c>
      <c r="W118" s="27">
        <f>IF(T118="Outros ativos circulantes:Adibras - Transitória de ativos",IF(U118&gt;0,U118,-V118))</f>
        <v/>
      </c>
      <c r="AC118" s="83">
        <f>AC117+H118-O118+W118-AB118</f>
        <v/>
      </c>
    </row>
    <row r="119">
      <c r="H119" s="79">
        <f>F119-G119</f>
        <v/>
      </c>
      <c r="W119" s="27">
        <f>IF(T119="Outros ativos circulantes:Adibras - Transitória de ativos",IF(U119&gt;0,U119,-V119))</f>
        <v/>
      </c>
      <c r="AB119" s="84" t="n"/>
      <c r="AC119" s="85">
        <f>AC118+H119-O119+W119-AB119</f>
        <v/>
      </c>
      <c r="AD119" s="90" t="n"/>
    </row>
    <row r="120">
      <c r="H120" s="79">
        <f>F120-G120</f>
        <v/>
      </c>
      <c r="W120" s="27">
        <f>IF(T120="Outros ativos circulantes:Adibras - Transitória de ativos",IF(U120&gt;0,U120,-V120))</f>
        <v/>
      </c>
      <c r="AC120" s="83">
        <f>AC119+H120-O120+W120-AB120</f>
        <v/>
      </c>
    </row>
    <row r="121">
      <c r="H121" s="79">
        <f>F121-G121</f>
        <v/>
      </c>
      <c r="W121" s="27">
        <f>IF(T121="Outros ativos circulantes:Adibras - Transitória de ativos",IF(U121&gt;0,U121,-V121))</f>
        <v/>
      </c>
      <c r="AC121" s="83">
        <f>AC120+H121-O121+W121-AB121</f>
        <v/>
      </c>
    </row>
    <row r="122">
      <c r="H122" s="79">
        <f>F122-G122</f>
        <v/>
      </c>
      <c r="W122" s="27">
        <f>IF(T122="Outros ativos circulantes:Adibras - Transitória de ativos",IF(U122&gt;0,U122,-V122))</f>
        <v/>
      </c>
      <c r="AC122" s="83">
        <f>AC121+H122-O122+W122-AB122</f>
        <v/>
      </c>
    </row>
    <row r="123">
      <c r="H123" s="79">
        <f>F123-G123</f>
        <v/>
      </c>
      <c r="W123" s="27">
        <f>IF(T123="Outros ativos circulantes:Adibras - Transitória de ativos",IF(U123&gt;0,U123,-V123))</f>
        <v/>
      </c>
      <c r="AC123" s="83">
        <f>AC122+H123-O123+W123-AB123</f>
        <v/>
      </c>
    </row>
    <row r="124">
      <c r="H124" s="79">
        <f>F124-G124</f>
        <v/>
      </c>
      <c r="W124" s="27">
        <f>IF(T124="Outros ativos circulantes:Adibras - Transitória de ativos",IF(U124&gt;0,U124,-V124))</f>
        <v/>
      </c>
      <c r="AC124" s="83">
        <f>AC123+H124-O124+W124-AB124</f>
        <v/>
      </c>
    </row>
    <row r="125">
      <c r="H125" s="79">
        <f>F125-G125</f>
        <v/>
      </c>
      <c r="W125" s="27">
        <f>IF(T125="Outros ativos circulantes:Adibras - Transitória de ativos",IF(U125&gt;0,U125,-V125))</f>
        <v/>
      </c>
      <c r="AC125" s="83">
        <f>AC124+H125-O125+W125-AB125</f>
        <v/>
      </c>
    </row>
    <row r="126">
      <c r="H126" s="79">
        <f>F126-G126</f>
        <v/>
      </c>
      <c r="W126" s="27">
        <f>IF(T126="Outros ativos circulantes:Adibras - Transitória de ativos",IF(U126&gt;0,U126,-V126))</f>
        <v/>
      </c>
      <c r="AC126" s="83">
        <f>AC125+H126-O126+W126-AB126</f>
        <v/>
      </c>
    </row>
    <row r="127">
      <c r="H127" s="79">
        <f>F127-G127</f>
        <v/>
      </c>
      <c r="W127" s="27">
        <f>IF(T127="Outros ativos circulantes:Adibras - Transitória de ativos",IF(U127&gt;0,U127,-V127))</f>
        <v/>
      </c>
      <c r="AC127" s="83">
        <f>AC126+H127-O127+W127-AB127</f>
        <v/>
      </c>
    </row>
    <row r="128">
      <c r="H128" s="79">
        <f>F128-G128</f>
        <v/>
      </c>
      <c r="W128" s="27">
        <f>IF(T128="Outros ativos circulantes:Adibras - Transitória de ativos",IF(U128&gt;0,U128,-V128))</f>
        <v/>
      </c>
      <c r="AC128" s="83">
        <f>AC127+H128-O128+W128-AB128</f>
        <v/>
      </c>
    </row>
    <row r="129">
      <c r="H129" s="79">
        <f>F129-G129</f>
        <v/>
      </c>
      <c r="W129" s="27">
        <f>IF(T129="Outros ativos circulantes:Adibras - Transitória de ativos",IF(U129&gt;0,U129,-V129))</f>
        <v/>
      </c>
      <c r="AC129" s="83">
        <f>AC128+H129-O129+W129-AB129</f>
        <v/>
      </c>
    </row>
    <row r="130">
      <c r="H130" s="79">
        <f>F130-G130</f>
        <v/>
      </c>
      <c r="W130" s="27">
        <f>IF(T130="Outros ativos circulantes:Adibras - Transitória de ativos",IF(U130&gt;0,U130,-V130))</f>
        <v/>
      </c>
      <c r="AC130" s="83">
        <f>AC129+H130-O130+W130-AB130</f>
        <v/>
      </c>
    </row>
    <row r="131">
      <c r="H131" s="79">
        <f>F131-G131</f>
        <v/>
      </c>
      <c r="W131" s="27">
        <f>IF(T131="Outros ativos circulantes:Adibras - Transitória de ativos",IF(U131&gt;0,U131,-V131))</f>
        <v/>
      </c>
      <c r="AC131" s="83">
        <f>AC130+H131-O131+W131-AB131</f>
        <v/>
      </c>
    </row>
    <row r="132">
      <c r="H132" s="79">
        <f>F132-G132</f>
        <v/>
      </c>
      <c r="W132" s="27">
        <f>IF(T132="Outros ativos circulantes:Adibras - Transitória de ativos",IF(U132&gt;0,U132,-V132))</f>
        <v/>
      </c>
      <c r="AC132" s="83">
        <f>AC131+H132-O132+W132-AB132</f>
        <v/>
      </c>
    </row>
    <row r="133">
      <c r="H133" s="79">
        <f>F133-G133</f>
        <v/>
      </c>
      <c r="W133" s="27">
        <f>IF(T133="Outros ativos circulantes:Adibras - Transitória de ativos",IF(U133&gt;0,U133,-V133))</f>
        <v/>
      </c>
      <c r="AB133" s="84" t="n"/>
      <c r="AC133" s="85">
        <f>AC132+H133-O133+W133-AB133</f>
        <v/>
      </c>
      <c r="AD133" s="90" t="n"/>
    </row>
    <row r="134">
      <c r="H134" s="79">
        <f>F134-G134</f>
        <v/>
      </c>
      <c r="W134" s="27">
        <f>IF(T134="Outros ativos circulantes:Adibras - Transitória de ativos",IF(U134&gt;0,U134,-V134))</f>
        <v/>
      </c>
      <c r="AC134" s="83">
        <f>AC133+H134-O134+W134-AB134</f>
        <v/>
      </c>
    </row>
    <row r="135">
      <c r="H135" s="79">
        <f>F135-G135</f>
        <v/>
      </c>
      <c r="W135" s="27">
        <f>IF(T135="Outros ativos circulantes:Adibras - Transitória de ativos",IF(U135&gt;0,U135,-V135))</f>
        <v/>
      </c>
      <c r="AC135" s="83">
        <f>AC134+H135-O135+W135-AB135</f>
        <v/>
      </c>
    </row>
    <row r="136">
      <c r="H136" s="79">
        <f>F136-G136</f>
        <v/>
      </c>
      <c r="W136" s="27">
        <f>IF(T136="Outros ativos circulantes:Adibras - Transitória de ativos",IF(U136&gt;0,U136,-V136))</f>
        <v/>
      </c>
      <c r="AC136" s="83">
        <f>AC135+H136-O136+W136-AB136</f>
        <v/>
      </c>
    </row>
    <row r="137">
      <c r="H137" s="79">
        <f>F137-G137</f>
        <v/>
      </c>
      <c r="W137" s="27">
        <f>IF(T137="Outros ativos circulantes:Adibras - Transitória de ativos",IF(U137&gt;0,U137,-V137))</f>
        <v/>
      </c>
      <c r="AC137" s="83">
        <f>AC136+H137-O137+W137-AB137</f>
        <v/>
      </c>
      <c r="AD137" s="90" t="n"/>
    </row>
    <row r="138">
      <c r="H138" s="79">
        <f>F138-G138</f>
        <v/>
      </c>
      <c r="W138" s="27">
        <f>IF(T138="Outros ativos circulantes:Adibras - Transitória de ativos",IF(U138&gt;0,U138,-V138))</f>
        <v/>
      </c>
      <c r="AB138" s="84" t="n"/>
      <c r="AC138" s="85">
        <f>AC137+H138-O138+W138-AB138</f>
        <v/>
      </c>
    </row>
    <row r="139">
      <c r="H139" s="79">
        <f>F139-G139</f>
        <v/>
      </c>
      <c r="W139" s="27">
        <f>IF(T139="Outros ativos circulantes:Adibras - Transitória de ativos",IF(U139&gt;0,U139,-V139))</f>
        <v/>
      </c>
      <c r="AC139" s="83">
        <f>AC138+H139-O139+W139-AB139</f>
        <v/>
      </c>
    </row>
    <row r="140">
      <c r="H140" s="79">
        <f>F140-G140</f>
        <v/>
      </c>
      <c r="W140" s="27">
        <f>IF(T140="Outros ativos circulantes:Adibras - Transitória de ativos",IF(U140&gt;0,U140,-V140))</f>
        <v/>
      </c>
      <c r="AC140" s="83">
        <f>AC139+H140-O140+W140-AB140</f>
        <v/>
      </c>
    </row>
    <row r="141">
      <c r="H141" s="79">
        <f>F141-G141</f>
        <v/>
      </c>
      <c r="W141" s="27">
        <f>IF(T141="Outros ativos circulantes:Adibras - Transitória de ativos",IF(U141&gt;0,U141,-V141))</f>
        <v/>
      </c>
      <c r="AC141" s="83">
        <f>AC140+H141-O141+W141-AB141</f>
        <v/>
      </c>
    </row>
    <row r="142">
      <c r="H142" s="79">
        <f>F142-G142</f>
        <v/>
      </c>
      <c r="W142" s="27">
        <f>IF(T142="Outros ativos circulantes:Adibras - Transitória de ativos",IF(U142&gt;0,U142,-V142))</f>
        <v/>
      </c>
      <c r="AC142" s="83">
        <f>AC141+H142-O142+W142-AB142</f>
        <v/>
      </c>
    </row>
    <row r="143">
      <c r="H143" s="79">
        <f>F143-G143</f>
        <v/>
      </c>
      <c r="W143" s="27">
        <f>IF(T143="Outros ativos circulantes:Adibras - Transitória de ativos",IF(U143&gt;0,U143,-V143))</f>
        <v/>
      </c>
      <c r="AC143" s="83">
        <f>AC142+H143-O143+W143-AB143</f>
        <v/>
      </c>
    </row>
    <row r="144">
      <c r="H144" s="79">
        <f>F144-G144</f>
        <v/>
      </c>
      <c r="W144" s="27">
        <f>IF(T144="Outros ativos circulantes:Adibras - Transitória de ativos",IF(U144&gt;0,U144,-V144))</f>
        <v/>
      </c>
      <c r="AC144" s="83">
        <f>AC143+H144-O144+W144-AB144</f>
        <v/>
      </c>
    </row>
    <row r="145">
      <c r="H145" s="79">
        <f>F145-G145</f>
        <v/>
      </c>
      <c r="W145" s="27">
        <f>IF(T145="Outros ativos circulantes:Adibras - Transitória de ativos",IF(U145&gt;0,U145,-V145))</f>
        <v/>
      </c>
      <c r="AC145" s="83">
        <f>AC144+H145-O145+W145-AB145</f>
        <v/>
      </c>
    </row>
    <row r="146">
      <c r="H146" s="79">
        <f>F146-G146</f>
        <v/>
      </c>
      <c r="W146" s="27">
        <f>IF(T146="Outros ativos circulantes:Adibras - Transitória de ativos",IF(U146&gt;0,U146,-V146))</f>
        <v/>
      </c>
      <c r="AC146" s="83">
        <f>AC145+H146-O146+W146-AB146</f>
        <v/>
      </c>
    </row>
    <row r="147">
      <c r="H147" s="79">
        <f>F147-G147</f>
        <v/>
      </c>
      <c r="W147" s="27">
        <f>IF(T147="Outros ativos circulantes:Adibras - Transitória de ativos",IF(U147&gt;0,U147,-V147))</f>
        <v/>
      </c>
      <c r="AC147" s="83">
        <f>AC146+H147-O147+W147-AB147</f>
        <v/>
      </c>
    </row>
    <row r="148">
      <c r="H148" s="79">
        <f>F148-G148</f>
        <v/>
      </c>
      <c r="W148" s="27">
        <f>IF(T148="Outros ativos circulantes:Adibras - Transitória de ativos",IF(U148&gt;0,U148,-V148))</f>
        <v/>
      </c>
      <c r="AC148" s="83">
        <f>AC147+H148-O148+W148-AB148</f>
        <v/>
      </c>
    </row>
    <row r="149">
      <c r="H149" s="79">
        <f>F149-G149</f>
        <v/>
      </c>
      <c r="W149" s="27">
        <f>IF(T149="Outros ativos circulantes:Adibras - Transitória de ativos",IF(U149&gt;0,U149,-V149))</f>
        <v/>
      </c>
      <c r="AC149" s="83">
        <f>AC148+H149-O149+W149-AB149</f>
        <v/>
      </c>
    </row>
    <row r="150">
      <c r="H150" s="79">
        <f>F150-G150</f>
        <v/>
      </c>
      <c r="W150" s="27">
        <f>IF(T150="Outros ativos circulantes:Adibras - Transitória de ativos",IF(U150&gt;0,U150,-V150))</f>
        <v/>
      </c>
      <c r="AC150" s="83">
        <f>AC149+H150-O150+W150-AB150</f>
        <v/>
      </c>
    </row>
    <row r="151">
      <c r="H151" s="79">
        <f>F151-G151</f>
        <v/>
      </c>
      <c r="W151" s="27">
        <f>IF(T151="Outros ativos circulantes:Adibras - Transitória de ativos",IF(U151&gt;0,U151,-V151))</f>
        <v/>
      </c>
      <c r="AC151" s="83">
        <f>AC150+H151-O151+W151-AB151</f>
        <v/>
      </c>
    </row>
    <row r="152">
      <c r="H152" s="79">
        <f>F152-G152</f>
        <v/>
      </c>
      <c r="W152" s="27">
        <f>IF(T152="Outros ativos circulantes:Adibras - Transitória de ativos",IF(U152&gt;0,U152,-V152))</f>
        <v/>
      </c>
      <c r="AC152" s="83">
        <f>AC151+H152-O152+W152-AB152</f>
        <v/>
      </c>
    </row>
    <row r="153">
      <c r="H153" s="79">
        <f>F153-G153</f>
        <v/>
      </c>
      <c r="W153" s="27">
        <f>IF(T153="Outros ativos circulantes:Adibras - Transitória de ativos",IF(U153&gt;0,U153,-V153))</f>
        <v/>
      </c>
      <c r="AC153" s="83">
        <f>AC152+H153-O153+W153-AB153</f>
        <v/>
      </c>
    </row>
    <row r="154">
      <c r="H154" s="79">
        <f>F154-G154</f>
        <v/>
      </c>
      <c r="W154" s="27">
        <f>IF(T154="Outros ativos circulantes:Adibras - Transitória de ativos",IF(U154&gt;0,U154,-V154))</f>
        <v/>
      </c>
      <c r="AC154" s="83">
        <f>AC153+H154-O154+W154-AB154</f>
        <v/>
      </c>
    </row>
    <row r="155">
      <c r="H155" s="79">
        <f>F155-G155</f>
        <v/>
      </c>
      <c r="W155" s="27">
        <f>IF(T155="Outros ativos circulantes:Adibras - Transitória de ativos",IF(U155&gt;0,U155,-V155))</f>
        <v/>
      </c>
      <c r="AC155" s="83">
        <f>AC154+H155-O155+W155-AB155</f>
        <v/>
      </c>
    </row>
    <row r="156">
      <c r="H156" s="79">
        <f>F156-G156</f>
        <v/>
      </c>
      <c r="W156" s="27">
        <f>IF(T156="Outros ativos circulantes:Adibras - Transitória de ativos",IF(U156&gt;0,U156,-V156))</f>
        <v/>
      </c>
      <c r="AC156" s="83">
        <f>AC155+H156-O156+W156-AB156</f>
        <v/>
      </c>
    </row>
    <row r="157">
      <c r="H157" s="79">
        <f>F157-G157</f>
        <v/>
      </c>
      <c r="W157" s="27">
        <f>IF(T157="Outros ativos circulantes:Adibras - Transitória de ativos",IF(U157&gt;0,U157,-V157))</f>
        <v/>
      </c>
      <c r="AC157" s="83">
        <f>AC156+H157-O157+W157-AB157</f>
        <v/>
      </c>
    </row>
    <row r="158">
      <c r="H158" s="79">
        <f>F158-G158</f>
        <v/>
      </c>
      <c r="W158" s="27">
        <f>IF(T158="Outros ativos circulantes:Adibras - Transitória de ativos",IF(U158&gt;0,U158,-V158))</f>
        <v/>
      </c>
      <c r="AC158" s="83">
        <f>AC157+H158-O158+W158-AB158</f>
        <v/>
      </c>
    </row>
    <row r="159">
      <c r="H159" s="79">
        <f>F159-G159</f>
        <v/>
      </c>
      <c r="W159" s="27">
        <f>IF(T159="Outros ativos circulantes:Adibras - Transitória de ativos",IF(U159&gt;0,U159,-V159))</f>
        <v/>
      </c>
      <c r="AC159" s="83">
        <f>AC158+H159-O159+W159-AB159</f>
        <v/>
      </c>
    </row>
    <row r="160">
      <c r="H160" s="79">
        <f>F160-G160</f>
        <v/>
      </c>
      <c r="W160" s="27">
        <f>IF(T160="Outros ativos circulantes:Adibras - Transitória de ativos",IF(U160&gt;0,U160,-V160))</f>
        <v/>
      </c>
      <c r="AC160" s="83">
        <f>AC159+H160-O160+W160-AB160</f>
        <v/>
      </c>
    </row>
    <row r="161">
      <c r="H161" s="79">
        <f>F161-G161</f>
        <v/>
      </c>
      <c r="W161" s="27">
        <f>IF(T161="Outros ativos circulantes:Adibras - Transitória de ativos",IF(U161&gt;0,U161,-V161))</f>
        <v/>
      </c>
      <c r="AC161" s="83">
        <f>AC160+H161-O161+W161-AB161</f>
        <v/>
      </c>
    </row>
    <row r="162">
      <c r="H162" s="79">
        <f>F162-G162</f>
        <v/>
      </c>
      <c r="W162" s="27">
        <f>IF(T162="Outros ativos circulantes:Adibras - Transitória de ativos",IF(U162&gt;0,U162,-V162))</f>
        <v/>
      </c>
      <c r="AC162" s="83">
        <f>AC161+H162-O162+W162-AB162</f>
        <v/>
      </c>
    </row>
    <row r="163">
      <c r="H163" s="79">
        <f>F163-G163</f>
        <v/>
      </c>
      <c r="W163" s="27">
        <f>IF(T163="Outros ativos circulantes:Adibras - Transitória de ativos",IF(U163&gt;0,U163,-V163))</f>
        <v/>
      </c>
      <c r="AC163" s="83">
        <f>AC162+H163-O163+W163-AB163</f>
        <v/>
      </c>
    </row>
    <row r="164">
      <c r="H164" s="79">
        <f>F164-G164</f>
        <v/>
      </c>
      <c r="W164" s="27">
        <f>IF(T164="Outros ativos circulantes:Adibras - Transitória de ativos",IF(U164&gt;0,U164,-V164))</f>
        <v/>
      </c>
      <c r="AC164" s="83">
        <f>AC163+H164-O164+W164-AB164</f>
        <v/>
      </c>
    </row>
    <row r="165">
      <c r="H165" s="79">
        <f>F165-G165</f>
        <v/>
      </c>
      <c r="W165" s="27">
        <f>IF(T165="Outros ativos circulantes:Adibras - Transitória de ativos",IF(U165&gt;0,U165,-V165))</f>
        <v/>
      </c>
      <c r="AB165" s="84" t="n"/>
      <c r="AC165" s="85">
        <f>AC164+H165-O165+W165-AB165</f>
        <v/>
      </c>
      <c r="AD165" s="90" t="n"/>
    </row>
    <row r="166">
      <c r="H166" s="79">
        <f>F166-G166</f>
        <v/>
      </c>
      <c r="W166" s="27">
        <f>IF(T166="Outros ativos circulantes:Adibras - Transitória de ativos",IF(U166&gt;0,U166,-V166))</f>
        <v/>
      </c>
      <c r="AC166" s="83">
        <f>AC165+H166-O166+W166-AB166</f>
        <v/>
      </c>
    </row>
    <row r="167">
      <c r="H167" s="79">
        <f>F167-G167</f>
        <v/>
      </c>
      <c r="W167" s="27">
        <f>IF(T167="Outros ativos circulantes:Adibras - Transitória de ativos",IF(U167&gt;0,U167,-V167))</f>
        <v/>
      </c>
      <c r="AC167" s="83">
        <f>AC166+H167-O167+W167-AB167</f>
        <v/>
      </c>
    </row>
    <row r="168">
      <c r="H168" s="79">
        <f>F168-G168</f>
        <v/>
      </c>
      <c r="W168" s="27">
        <f>IF(T168="Outros ativos circulantes:Adibras - Transitória de ativos",IF(U168&gt;0,U168,-V168))</f>
        <v/>
      </c>
      <c r="AC168" s="83">
        <f>AC167+H168-O168+W168-AB168</f>
        <v/>
      </c>
    </row>
    <row r="169">
      <c r="H169" s="79">
        <f>F169-G169</f>
        <v/>
      </c>
      <c r="W169" s="27">
        <f>IF(T169="Outros ativos circulantes:Adibras - Transitória de ativos",IF(U169&gt;0,U169,-V169))</f>
        <v/>
      </c>
      <c r="AC169" s="83">
        <f>AC168+H169-O169+W169-AB169</f>
        <v/>
      </c>
    </row>
    <row r="170">
      <c r="H170" s="79">
        <f>F170-G170</f>
        <v/>
      </c>
      <c r="W170" s="27">
        <f>IF(T170="Outros ativos circulantes:Adibras - Transitória de ativos",IF(U170&gt;0,U170,-V170))</f>
        <v/>
      </c>
      <c r="AC170" s="83">
        <f>AC169+H170-O170+W170-AB170</f>
        <v/>
      </c>
    </row>
    <row r="171">
      <c r="H171" s="79">
        <f>F171-G171</f>
        <v/>
      </c>
      <c r="W171" s="27">
        <f>IF(T171="Outros ativos circulantes:Adibras - Transitória de ativos",IF(U171&gt;0,U171,-V171))</f>
        <v/>
      </c>
      <c r="AC171" s="83">
        <f>AC170+H171-O171+W171-AB171</f>
        <v/>
      </c>
    </row>
    <row r="172">
      <c r="H172" s="79">
        <f>F172-G172</f>
        <v/>
      </c>
      <c r="W172" s="27">
        <f>IF(T172="Outros ativos circulantes:Adibras - Transitória de ativos",IF(U172&gt;0,U172,-V172))</f>
        <v/>
      </c>
      <c r="AC172" s="83">
        <f>AC171+H172-O172+W172-AB172</f>
        <v/>
      </c>
    </row>
    <row r="173">
      <c r="H173" s="79">
        <f>F173-G173</f>
        <v/>
      </c>
      <c r="W173" s="27">
        <f>IF(T173="Outros ativos circulantes:Adibras - Transitória de ativos",IF(U173&gt;0,U173,-V173))</f>
        <v/>
      </c>
      <c r="AC173" s="83">
        <f>AC172+H173-O173+W173-AB173</f>
        <v/>
      </c>
    </row>
    <row r="174">
      <c r="H174" s="79">
        <f>F174-G174</f>
        <v/>
      </c>
      <c r="W174" s="27">
        <f>IF(T174="Outros ativos circulantes:Adibras - Transitória de ativos",IF(U174&gt;0,U174,-V174))</f>
        <v/>
      </c>
      <c r="AC174" s="83">
        <f>AC173+H174-O174+W174-AB174</f>
        <v/>
      </c>
    </row>
    <row r="175">
      <c r="H175" s="79">
        <f>F175-G175</f>
        <v/>
      </c>
      <c r="W175" s="27">
        <f>IF(T175="Outros ativos circulantes:Adibras - Transitória de ativos",IF(U175&gt;0,U175,-V175))</f>
        <v/>
      </c>
      <c r="AC175" s="83">
        <f>AC174+H175-O175+W175-AB175</f>
        <v/>
      </c>
    </row>
    <row r="176">
      <c r="H176" s="79">
        <f>F176-G176</f>
        <v/>
      </c>
      <c r="W176" s="27">
        <f>IF(T176="Outros ativos circulantes:Adibras - Transitória de ativos",IF(U176&gt;0,U176,-V176))</f>
        <v/>
      </c>
      <c r="AC176" s="85">
        <f>AC175+H176-O176+W176-AB176</f>
        <v/>
      </c>
    </row>
    <row r="177">
      <c r="H177" s="79">
        <f>F177-G177</f>
        <v/>
      </c>
      <c r="W177" s="27">
        <f>IF(T177="Outros ativos circulantes:Adibras - Transitória de ativos",IF(U177&gt;0,U177,-V177))</f>
        <v/>
      </c>
      <c r="AC177" s="83">
        <f>AC176+H177-O177+W177-AB177</f>
        <v/>
      </c>
    </row>
    <row r="178">
      <c r="H178" s="79">
        <f>F178-G178</f>
        <v/>
      </c>
      <c r="W178" s="27">
        <f>IF(T178="Outros ativos circulantes:Adibras - Transitória de ativos",IF(U178&gt;0,U178,-V178))</f>
        <v/>
      </c>
      <c r="AC178" s="83">
        <f>AC177+H178-O178+W178-AB178</f>
        <v/>
      </c>
    </row>
    <row r="179">
      <c r="H179" s="79">
        <f>F179-G179</f>
        <v/>
      </c>
      <c r="W179" s="27">
        <f>IF(T179="Outros ativos circulantes:Adibras - Transitória de ativos",IF(U179&gt;0,U179,-V179))</f>
        <v/>
      </c>
      <c r="AC179" s="83">
        <f>AC178+H179-O179+W179-AB179</f>
        <v/>
      </c>
    </row>
    <row r="180">
      <c r="H180" s="79">
        <f>F180-G180</f>
        <v/>
      </c>
      <c r="W180" s="27">
        <f>IF(T180="Outros ativos circulantes:Adibras - Transitória de ativos",IF(U180&gt;0,U180,-V180))</f>
        <v/>
      </c>
      <c r="AC180" s="83">
        <f>AC179+H180-O180+W180-AB180</f>
        <v/>
      </c>
    </row>
    <row r="181">
      <c r="H181" s="79">
        <f>F181-G181</f>
        <v/>
      </c>
      <c r="W181" s="27">
        <f>IF(T181="Outros ativos circulantes:Adibras - Transitória de ativos",IF(U181&gt;0,U181,-V181))</f>
        <v/>
      </c>
      <c r="AC181" s="83">
        <f>AC180+H181-O181+W181-AB181</f>
        <v/>
      </c>
    </row>
    <row r="182">
      <c r="H182" s="79">
        <f>F182-G182</f>
        <v/>
      </c>
      <c r="W182" s="27">
        <f>IF(T182="Outros ativos circulantes:Adibras - Transitória de ativos",IF(U182&gt;0,U182,-V182))</f>
        <v/>
      </c>
      <c r="AC182" s="83">
        <f>AC181+H182-O182+W182-AB182</f>
        <v/>
      </c>
    </row>
    <row r="183">
      <c r="H183" s="79">
        <f>F183-G183</f>
        <v/>
      </c>
      <c r="W183" s="27">
        <f>IF(T183="Outros ativos circulantes:Adibras - Transitória de ativos",IF(U183&gt;0,U183,-V183))</f>
        <v/>
      </c>
      <c r="AC183" s="83">
        <f>AC182+H183-O183+W183-AB183</f>
        <v/>
      </c>
    </row>
    <row r="184">
      <c r="H184" s="79">
        <f>F184-G184</f>
        <v/>
      </c>
      <c r="W184" s="27">
        <f>IF(T184="Outros ativos circulantes:Adibras - Transitória de ativos",IF(U184&gt;0,U184,-V184))</f>
        <v/>
      </c>
      <c r="AC184" s="83">
        <f>AC183+H184-O184+W184-AB184</f>
        <v/>
      </c>
    </row>
    <row r="185">
      <c r="H185" s="79">
        <f>F185-G185</f>
        <v/>
      </c>
      <c r="W185" s="27">
        <f>IF(T185="Outros ativos circulantes:Adibras - Transitória de ativos",IF(U185&gt;0,U185,-V185))</f>
        <v/>
      </c>
      <c r="AC185" s="83">
        <f>AC184+H185-O185+W185-AB185</f>
        <v/>
      </c>
    </row>
    <row r="186">
      <c r="H186" s="79">
        <f>F186-G186</f>
        <v/>
      </c>
      <c r="W186" s="27">
        <f>IF(T186="Outros ativos circulantes:Adibras - Transitória de ativos",IF(U186&gt;0,U186,-V186))</f>
        <v/>
      </c>
      <c r="AC186" s="83">
        <f>AC185+H186-O186+W186-AB186</f>
        <v/>
      </c>
    </row>
    <row r="187">
      <c r="H187" s="79">
        <f>F187-G187</f>
        <v/>
      </c>
      <c r="W187" s="27">
        <f>IF(T187="Outros ativos circulantes:Adibras - Transitória de ativos",IF(U187&gt;0,U187,-V187))</f>
        <v/>
      </c>
      <c r="AC187" s="83">
        <f>AC186+H187-O187+W187-AB187</f>
        <v/>
      </c>
    </row>
    <row r="188">
      <c r="H188" s="79">
        <f>F188-G188</f>
        <v/>
      </c>
      <c r="W188" s="27">
        <f>IF(T188="Outros ativos circulantes:Adibras - Transitória de ativos",IF(U188&gt;0,U188,-V188))</f>
        <v/>
      </c>
      <c r="AC188" s="83">
        <f>AC187+H188-O188+W188-AB188</f>
        <v/>
      </c>
    </row>
    <row r="189">
      <c r="H189" s="79">
        <f>F189-G189</f>
        <v/>
      </c>
      <c r="W189" s="27">
        <f>IF(T189="Outros ativos circulantes:Adibras - Transitória de ativos",IF(U189&gt;0,U189,-V189))</f>
        <v/>
      </c>
      <c r="AC189" s="83">
        <f>AC188+H189-O189+W189-AB189</f>
        <v/>
      </c>
    </row>
    <row r="190">
      <c r="H190" s="79">
        <f>F190-G190</f>
        <v/>
      </c>
      <c r="W190" s="27">
        <f>IF(T190="Outros ativos circulantes:Adibras - Transitória de ativos",IF(U190&gt;0,U190,-V190))</f>
        <v/>
      </c>
      <c r="AC190" s="83">
        <f>AC189+H190-O190+W190-AB190</f>
        <v/>
      </c>
    </row>
    <row r="191">
      <c r="H191" s="79">
        <f>F191-G191</f>
        <v/>
      </c>
      <c r="W191" s="27">
        <f>IF(T191="Outros ativos circulantes:Adibras - Transitória de ativos",IF(U191&gt;0,U191,-V191))</f>
        <v/>
      </c>
      <c r="AC191" s="83">
        <f>AC190+H191-O191+W191-AB191</f>
        <v/>
      </c>
    </row>
    <row r="192">
      <c r="H192" s="79">
        <f>F192-G192</f>
        <v/>
      </c>
      <c r="W192" s="27">
        <f>IF(T192="Outros ativos circulantes:Adibras - Transitória de ativos",IF(U192&gt;0,U192,-V192))</f>
        <v/>
      </c>
      <c r="AC192" s="83">
        <f>AC191+H192-O192+W192-AB192</f>
        <v/>
      </c>
    </row>
    <row r="193">
      <c r="H193" s="79">
        <f>F193-G193</f>
        <v/>
      </c>
      <c r="W193" s="27">
        <f>IF(T193="Outros ativos circulantes:Adibras - Transitória de ativos",IF(U193&gt;0,U193,-V193))</f>
        <v/>
      </c>
      <c r="AC193" s="83">
        <f>AC192+H193-O193+W193-AB193</f>
        <v/>
      </c>
    </row>
    <row r="194">
      <c r="H194" s="79">
        <f>F194-G194</f>
        <v/>
      </c>
      <c r="W194" s="27">
        <f>IF(T194="Outros ativos circulantes:Adibras - Transitória de ativos",IF(U194&gt;0,U194,-V194))</f>
        <v/>
      </c>
      <c r="AC194" s="83">
        <f>AC193+H194-O194+W194-AB194</f>
        <v/>
      </c>
    </row>
    <row r="195">
      <c r="H195" s="79">
        <f>F195-G195</f>
        <v/>
      </c>
      <c r="W195" s="27">
        <f>IF(T195="Outros ativos circulantes:Adibras - Transitória de ativos",IF(U195&gt;0,U195,-V195))</f>
        <v/>
      </c>
      <c r="AC195" s="83">
        <f>AC194+H195-O195+W195-AB195</f>
        <v/>
      </c>
    </row>
    <row r="196">
      <c r="H196" s="79">
        <f>F196-G196</f>
        <v/>
      </c>
      <c r="W196" s="27">
        <f>IF(T196="Outros ativos circulantes:Adibras - Transitória de ativos",IF(U196&gt;0,U196,-V196))</f>
        <v/>
      </c>
      <c r="AC196" s="83">
        <f>AC195+H196-O196+W196-AB196</f>
        <v/>
      </c>
    </row>
    <row r="197">
      <c r="H197" s="79">
        <f>F197-G197</f>
        <v/>
      </c>
      <c r="W197" s="27">
        <f>IF(T197="Outros ativos circulantes:Adibras - Transitória de ativos",IF(U197&gt;0,U197,-V197))</f>
        <v/>
      </c>
      <c r="AC197" s="83">
        <f>AC196+H197-O197+W197-AB197</f>
        <v/>
      </c>
    </row>
    <row r="198">
      <c r="H198" s="79">
        <f>F198-G198</f>
        <v/>
      </c>
      <c r="W198" s="27">
        <f>IF(T198="Outros ativos circulantes:Adibras - Transitória de ativos",IF(U198&gt;0,U198,-V198))</f>
        <v/>
      </c>
      <c r="AC198" s="83">
        <f>AC197+H198-O198+W198-AB198</f>
        <v/>
      </c>
    </row>
    <row r="199">
      <c r="H199" s="79">
        <f>F199-G199</f>
        <v/>
      </c>
      <c r="W199" s="27">
        <f>IF(T199="Outros ativos circulantes:Adibras - Transitória de ativos",IF(U199&gt;0,U199,-V199))</f>
        <v/>
      </c>
      <c r="AC199" s="83">
        <f>AC198+H199-O199+W199-AB199</f>
        <v/>
      </c>
    </row>
    <row r="200">
      <c r="H200" s="79">
        <f>F200-G200</f>
        <v/>
      </c>
      <c r="W200" s="27">
        <f>IF(T200="Outros ativos circulantes:Adibras - Transitória de ativos",IF(U200&gt;0,U200,-V200))</f>
        <v/>
      </c>
      <c r="AC200" s="83">
        <f>AC199+H200-O200+W200-AB200</f>
        <v/>
      </c>
    </row>
    <row r="201">
      <c r="H201" s="79">
        <f>F201-G201</f>
        <v/>
      </c>
      <c r="W201" s="27">
        <f>IF(T201="Outros ativos circulantes:Adibras - Transitória de ativos",IF(U201&gt;0,U201,-V201))</f>
        <v/>
      </c>
    </row>
    <row r="202">
      <c r="H202" s="79">
        <f>F202-G202</f>
        <v/>
      </c>
      <c r="W202" s="27">
        <f>IF(T202="Outros ativos circulantes:Adibras - Transitória de ativos",IF(U202&gt;0,U202,-V202))</f>
        <v/>
      </c>
    </row>
    <row r="203">
      <c r="H203" s="79">
        <f>F203-G203</f>
        <v/>
      </c>
      <c r="W203" s="27">
        <f>IF(T203="Outros ativos circulantes:Adibras - Transitória de ativos",IF(U203&gt;0,U203,-V203))</f>
        <v/>
      </c>
    </row>
    <row r="204">
      <c r="H204" s="79">
        <f>F204-G204</f>
        <v/>
      </c>
      <c r="W204" s="27">
        <f>IF(T204="Outros ativos circulantes:Adibras - Transitória de ativos",IF(U204&gt;0,U204,-V204))</f>
        <v/>
      </c>
    </row>
    <row r="205">
      <c r="H205" s="79">
        <f>F205-G205</f>
        <v/>
      </c>
      <c r="W205" s="27">
        <f>IF(T205="Outros ativos circulantes:Adibras - Transitória de ativos",IF(U205&gt;0,U205,-V205))</f>
        <v/>
      </c>
    </row>
    <row r="206">
      <c r="H206" s="79">
        <f>F206-G206</f>
        <v/>
      </c>
      <c r="W206" s="27">
        <f>IF(T206="Outros ativos circulantes:Adibras - Transitória de ativos",IF(U206&gt;0,U206,-V206))</f>
        <v/>
      </c>
    </row>
    <row r="207">
      <c r="H207" s="79">
        <f>F207-G207</f>
        <v/>
      </c>
      <c r="W207" s="27">
        <f>IF(T207="Outros ativos circulantes:Adibras - Transitória de ativos",IF(U207&gt;0,U207,-V207))</f>
        <v/>
      </c>
    </row>
    <row r="208">
      <c r="H208" s="79">
        <f>F208-G208</f>
        <v/>
      </c>
      <c r="W208" s="27">
        <f>IF(T208="Outros ativos circulantes:Adibras - Transitória de ativos",IF(U208&gt;0,U208,-V208))</f>
        <v/>
      </c>
    </row>
    <row r="209">
      <c r="H209" s="79">
        <f>F209-G209</f>
        <v/>
      </c>
      <c r="W209" s="27">
        <f>IF(T209="Outros ativos circulantes:Adibras - Transitória de ativos",IF(U209&gt;0,U209,-V209))</f>
        <v/>
      </c>
    </row>
    <row r="210">
      <c r="H210" s="79">
        <f>F210-G210</f>
        <v/>
      </c>
      <c r="W210" s="27">
        <f>IF(T210="Outros ativos circulantes:Adibras - Transitória de ativos",IF(U210&gt;0,U210,-V210))</f>
        <v/>
      </c>
    </row>
    <row r="211">
      <c r="H211" s="79">
        <f>F211-G211</f>
        <v/>
      </c>
      <c r="W211" s="27">
        <f>IF(T211="Outros ativos circulantes:Adibras - Transitória de ativos",IF(U211&gt;0,U211,-V211))</f>
        <v/>
      </c>
    </row>
    <row r="212">
      <c r="H212" s="79">
        <f>F212-G212</f>
        <v/>
      </c>
      <c r="W212" s="27">
        <f>IF(T212="Outros ativos circulantes:Adibras - Transitória de ativos",IF(U212&gt;0,U212,-V212))</f>
        <v/>
      </c>
    </row>
    <row r="213">
      <c r="H213" s="79">
        <f>F213-G213</f>
        <v/>
      </c>
      <c r="W213" s="27">
        <f>IF(T213="Outros ativos circulantes:Adibras - Transitória de ativos",IF(U213&gt;0,U213,-V213))</f>
        <v/>
      </c>
    </row>
    <row r="214">
      <c r="H214" s="79">
        <f>F214-G214</f>
        <v/>
      </c>
      <c r="W214" s="27">
        <f>IF(T214="Outros ativos circulantes:Adibras - Transitória de ativos",IF(U214&gt;0,U214,-V214))</f>
        <v/>
      </c>
    </row>
    <row r="215">
      <c r="H215" s="79">
        <f>F215-G215</f>
        <v/>
      </c>
      <c r="W215" s="27">
        <f>IF(T215="Outros ativos circulantes:Adibras - Transitória de ativos",IF(U215&gt;0,U215,-V215))</f>
        <v/>
      </c>
    </row>
    <row r="216">
      <c r="H216" s="79">
        <f>F216-G216</f>
        <v/>
      </c>
      <c r="W216" s="27">
        <f>IF(T216="Outros ativos circulantes:Adibras - Transitória de ativos",IF(U216&gt;0,U216,-V216))</f>
        <v/>
      </c>
    </row>
    <row r="217">
      <c r="H217" s="79">
        <f>F217-G217</f>
        <v/>
      </c>
      <c r="W217" s="27">
        <f>IF(T217="Outros ativos circulantes:Adibras - Transitória de ativos",IF(U217&gt;0,U217,-V217))</f>
        <v/>
      </c>
    </row>
    <row r="218">
      <c r="H218" s="79">
        <f>F218-G218</f>
        <v/>
      </c>
      <c r="W218" s="27">
        <f>IF(T218="Outros ativos circulantes:Adibras - Transitória de ativos",IF(U218&gt;0,U218,-V218))</f>
        <v/>
      </c>
    </row>
    <row r="219">
      <c r="H219" s="79">
        <f>F219-G219</f>
        <v/>
      </c>
      <c r="W219" s="27">
        <f>IF(T219="Outros ativos circulantes:Adibras - Transitória de ativos",IF(U219&gt;0,U219,-V219))</f>
        <v/>
      </c>
    </row>
    <row r="220">
      <c r="H220" s="79">
        <f>F220-G220</f>
        <v/>
      </c>
      <c r="W220" s="27">
        <f>IF(T220="Outros ativos circulantes:Adibras - Transitória de ativos",IF(U220&gt;0,U220,-V220))</f>
        <v/>
      </c>
    </row>
    <row r="221">
      <c r="H221" s="79">
        <f>F221-G221</f>
        <v/>
      </c>
      <c r="W221" s="27">
        <f>IF(T221="Outros ativos circulantes:Adibras - Transitória de ativos",IF(U221&gt;0,U221,-V221))</f>
        <v/>
      </c>
    </row>
    <row r="222">
      <c r="H222" s="79">
        <f>F222-G222</f>
        <v/>
      </c>
      <c r="W222" s="27">
        <f>IF(T222="Outros ativos circulantes:Adibras - Transitória de ativos",IF(U222&gt;0,U222,-V222))</f>
        <v/>
      </c>
    </row>
    <row r="223">
      <c r="H223" s="79">
        <f>F223-G223</f>
        <v/>
      </c>
      <c r="W223" s="27">
        <f>IF(T223="Outros ativos circulantes:Adibras - Transitória de ativos",IF(U223&gt;0,U223,-V223))</f>
        <v/>
      </c>
    </row>
    <row r="224">
      <c r="H224" s="79">
        <f>F224-G224</f>
        <v/>
      </c>
      <c r="W224" s="27">
        <f>IF(T224="Outros ativos circulantes:Adibras - Transitória de ativos",IF(U224&gt;0,U224,-V224))</f>
        <v/>
      </c>
    </row>
    <row r="225">
      <c r="H225" s="79">
        <f>F225-G225</f>
        <v/>
      </c>
      <c r="W225" s="27">
        <f>IF(T225="Outros ativos circulantes:Adibras - Transitória de ativos",IF(U225&gt;0,U225,-V225))</f>
        <v/>
      </c>
    </row>
    <row r="226">
      <c r="H226" s="79">
        <f>F226-G226</f>
        <v/>
      </c>
      <c r="W226" s="27">
        <f>IF(T226="Outros ativos circulantes:Adibras - Transitória de ativos",IF(U226&gt;0,U226,-V226))</f>
        <v/>
      </c>
    </row>
    <row r="227">
      <c r="H227" s="79">
        <f>F227-G227</f>
        <v/>
      </c>
      <c r="W227" s="27">
        <f>IF(T227="Outros ativos circulantes:Adibras - Transitória de ativos",IF(U227&gt;0,U227,-V227))</f>
        <v/>
      </c>
    </row>
    <row r="228">
      <c r="H228" s="79">
        <f>F228-G228</f>
        <v/>
      </c>
      <c r="W228" s="27">
        <f>IF(T228="Outros ativos circulantes:Adibras - Transitória de ativos",IF(U228&gt;0,U228,-V228))</f>
        <v/>
      </c>
    </row>
    <row r="229">
      <c r="H229" s="79">
        <f>F229-G229</f>
        <v/>
      </c>
      <c r="W229" s="27">
        <f>IF(T229="Outros ativos circulantes:Adibras - Transitória de ativos",IF(U229&gt;0,U229,-V229))</f>
        <v/>
      </c>
    </row>
    <row r="230">
      <c r="H230" s="79">
        <f>F230-G230</f>
        <v/>
      </c>
      <c r="W230" s="27">
        <f>IF(T230="Outros ativos circulantes:Adibras - Transitória de ativos",IF(U230&gt;0,U230,-V230))</f>
        <v/>
      </c>
    </row>
    <row r="231">
      <c r="H231" s="79">
        <f>F231-G231</f>
        <v/>
      </c>
      <c r="W231" s="27">
        <f>IF(T231="Outros ativos circulantes:Adibras - Transitória de ativos",IF(U231&gt;0,U231,-V231))</f>
        <v/>
      </c>
    </row>
    <row r="232">
      <c r="H232" s="79">
        <f>F232-G232</f>
        <v/>
      </c>
      <c r="W232" s="27">
        <f>IF(T232="Outros ativos circulantes:Adibras - Transitória de ativos",IF(U232&gt;0,U232,-V232))</f>
        <v/>
      </c>
    </row>
    <row r="233">
      <c r="H233" s="79">
        <f>F233-G233</f>
        <v/>
      </c>
      <c r="W233" s="27">
        <f>IF(T233="Outros ativos circulantes:Adibras - Transitória de ativos",IF(U233&gt;0,U233,-V233))</f>
        <v/>
      </c>
    </row>
    <row r="234">
      <c r="H234" s="79">
        <f>F234-G234</f>
        <v/>
      </c>
      <c r="W234" s="27">
        <f>IF(T234="Outros ativos circulantes:Adibras - Transitória de ativos",IF(U234&gt;0,U234,-V234))</f>
        <v/>
      </c>
    </row>
    <row r="235">
      <c r="H235" s="79">
        <f>F235-G235</f>
        <v/>
      </c>
      <c r="W235" s="27">
        <f>IF(T235="Outros ativos circulantes:Adibras - Transitória de ativos",IF(U235&gt;0,U235,-V235))</f>
        <v/>
      </c>
    </row>
    <row r="236">
      <c r="H236" s="79">
        <f>F236-G236</f>
        <v/>
      </c>
      <c r="W236" s="27">
        <f>IF(T236="Outros ativos circulantes:Adibras - Transitória de ativos",IF(U236&gt;0,U236,-V236))</f>
        <v/>
      </c>
    </row>
    <row r="237">
      <c r="H237" s="79">
        <f>F237-G237</f>
        <v/>
      </c>
      <c r="W237" s="27">
        <f>IF(T237="Outros ativos circulantes:Adibras - Transitória de ativos",IF(U237&gt;0,U237,-V237))</f>
        <v/>
      </c>
    </row>
    <row r="238">
      <c r="H238" s="79">
        <f>F238-G238</f>
        <v/>
      </c>
      <c r="W238" s="27">
        <f>IF(T238="Outros ativos circulantes:Adibras - Transitória de ativos",IF(U238&gt;0,U238,-V238))</f>
        <v/>
      </c>
    </row>
    <row r="239">
      <c r="H239" s="79">
        <f>F239-G239</f>
        <v/>
      </c>
      <c r="W239" s="27">
        <f>IF(T239="Outros ativos circulantes:Adibras - Transitória de ativos",IF(U239&gt;0,U239,-V239))</f>
        <v/>
      </c>
    </row>
    <row r="240">
      <c r="H240" s="79">
        <f>F240-G240</f>
        <v/>
      </c>
      <c r="W240" s="27">
        <f>IF(T240="Outros ativos circulantes:Adibras - Transitória de ativos",IF(U240&gt;0,U240,-V240))</f>
        <v/>
      </c>
    </row>
    <row r="241">
      <c r="H241" s="79">
        <f>F241-G241</f>
        <v/>
      </c>
      <c r="W241" s="27">
        <f>IF(T241="Outros ativos circulantes:Adibras - Transitória de ativos",IF(U241&gt;0,U241,-V241))</f>
        <v/>
      </c>
    </row>
    <row r="242">
      <c r="H242" s="79">
        <f>F242-G242</f>
        <v/>
      </c>
      <c r="W242" s="27">
        <f>IF(T242="Outros ativos circulantes:Adibras - Transitória de ativos",IF(U242&gt;0,U242,-V242))</f>
        <v/>
      </c>
    </row>
    <row r="243">
      <c r="H243" s="79">
        <f>F243-G243</f>
        <v/>
      </c>
      <c r="W243" s="27">
        <f>IF(T243="Outros ativos circulantes:Adibras - Transitória de ativos",IF(U243&gt;0,U243,-V243))</f>
        <v/>
      </c>
    </row>
    <row r="244">
      <c r="H244" s="79">
        <f>F244-G244</f>
        <v/>
      </c>
      <c r="W244" s="27">
        <f>IF(T244="Outros ativos circulantes:Adibras - Transitória de ativos",IF(U244&gt;0,U244,-V244))</f>
        <v/>
      </c>
    </row>
    <row r="245">
      <c r="H245" s="79">
        <f>F245-G245</f>
        <v/>
      </c>
      <c r="W245" s="27">
        <f>IF(T245="Outros ativos circulantes:Adibras - Transitória de ativos",IF(U245&gt;0,U245,-V245))</f>
        <v/>
      </c>
    </row>
    <row r="246">
      <c r="H246" s="79">
        <f>F246-G246</f>
        <v/>
      </c>
      <c r="W246" s="27">
        <f>IF(T246="Outros ativos circulantes:Adibras - Transitória de ativos",IF(U246&gt;0,U246,-V246))</f>
        <v/>
      </c>
    </row>
    <row r="247">
      <c r="H247" s="79">
        <f>F247-G247</f>
        <v/>
      </c>
      <c r="W247" s="27">
        <f>IF(T247="Outros ativos circulantes:Adibras - Transitória de ativos",IF(U247&gt;0,U247,-V247))</f>
        <v/>
      </c>
    </row>
    <row r="248">
      <c r="H248" s="79">
        <f>F248-G248</f>
        <v/>
      </c>
      <c r="W248" s="27">
        <f>IF(T248="Outros ativos circulantes:Adibras - Transitória de ativos",IF(U248&gt;0,U248,-V248))</f>
        <v/>
      </c>
    </row>
    <row r="249">
      <c r="H249" s="79">
        <f>F249-G249</f>
        <v/>
      </c>
      <c r="W249" s="27">
        <f>IF(T249="Outros ativos circulantes:Adibras - Transitória de ativos",IF(U249&gt;0,U249,-V249))</f>
        <v/>
      </c>
    </row>
    <row r="250">
      <c r="H250" s="79">
        <f>F250-G250</f>
        <v/>
      </c>
      <c r="W250" s="27">
        <f>IF(T250="Outros ativos circulantes:Adibras - Transitória de ativos",IF(U250&gt;0,U250,-V250))</f>
        <v/>
      </c>
    </row>
    <row r="251">
      <c r="H251" s="79">
        <f>F251-G251</f>
        <v/>
      </c>
      <c r="W251" s="27">
        <f>IF(T251="Outros ativos circulantes:Adibras - Transitória de ativos",IF(U251&gt;0,U251,-V251))</f>
        <v/>
      </c>
    </row>
    <row r="252">
      <c r="H252" s="79">
        <f>F252-G252</f>
        <v/>
      </c>
      <c r="W252" s="27">
        <f>IF(T252="Outros ativos circulantes:Adibras - Transitória de ativos",IF(U252&gt;0,U252,-V252))</f>
        <v/>
      </c>
    </row>
    <row r="253">
      <c r="H253" s="79">
        <f>F253-G253</f>
        <v/>
      </c>
      <c r="W253" s="27">
        <f>IF(T253="Outros ativos circulantes:Adibras - Transitória de ativos",IF(U253&gt;0,U253,-V253))</f>
        <v/>
      </c>
    </row>
    <row r="254">
      <c r="H254" s="79">
        <f>F254-G254</f>
        <v/>
      </c>
      <c r="W254" s="27">
        <f>IF(T254="Outros ativos circulantes:Adibras - Transitória de ativos",IF(U254&gt;0,U254,-V254))</f>
        <v/>
      </c>
    </row>
    <row r="255">
      <c r="H255" s="79">
        <f>F255-G255</f>
        <v/>
      </c>
      <c r="W255" s="27">
        <f>IF(T255="Outros ativos circulantes:Adibras - Transitória de ativos",IF(U255&gt;0,U255,-V255))</f>
        <v/>
      </c>
    </row>
    <row r="256">
      <c r="H256" s="79">
        <f>F256-G256</f>
        <v/>
      </c>
      <c r="W256" s="27">
        <f>IF(T256="Outros ativos circulantes:Adibras - Transitória de ativos",IF(U256&gt;0,U256,-V256))</f>
        <v/>
      </c>
    </row>
    <row r="257">
      <c r="H257" s="79">
        <f>F257-G257</f>
        <v/>
      </c>
      <c r="W257" s="27">
        <f>IF(T257="Outros ativos circulantes:Adibras - Transitória de ativos",IF(U257&gt;0,U257,-V257))</f>
        <v/>
      </c>
    </row>
    <row r="258">
      <c r="H258" s="79">
        <f>F258-G258</f>
        <v/>
      </c>
      <c r="W258" s="27">
        <f>IF(T258="Outros ativos circulantes:Adibras - Transitória de ativos",IF(U258&gt;0,U258,-V258))</f>
        <v/>
      </c>
    </row>
    <row r="259">
      <c r="H259" s="79">
        <f>F259-G259</f>
        <v/>
      </c>
      <c r="W259" s="27">
        <f>IF(T259="Outros ativos circulantes:Adibras - Transitória de ativos",IF(U259&gt;0,U259,-V259))</f>
        <v/>
      </c>
    </row>
    <row r="260">
      <c r="H260" s="79">
        <f>F260-G260</f>
        <v/>
      </c>
      <c r="W260" s="27">
        <f>IF(T260="Outros ativos circulantes:Adibras - Transitória de ativos",IF(U260&gt;0,U260,-V260))</f>
        <v/>
      </c>
    </row>
    <row r="261">
      <c r="H261" s="79">
        <f>F261-G261</f>
        <v/>
      </c>
      <c r="W261" s="27">
        <f>IF(T261="Outros ativos circulantes:Adibras - Transitória de ativos",IF(U261&gt;0,U261,-V261))</f>
        <v/>
      </c>
    </row>
    <row r="262">
      <c r="H262" s="79">
        <f>F262-G262</f>
        <v/>
      </c>
      <c r="W262" s="27">
        <f>IF(T262="Outros ativos circulantes:Adibras - Transitória de ativos",IF(U262&gt;0,U262,-V262))</f>
        <v/>
      </c>
    </row>
    <row r="263">
      <c r="H263" s="79">
        <f>F263-G263</f>
        <v/>
      </c>
      <c r="W263" s="27">
        <f>IF(T263="Outros ativos circulantes:Adibras - Transitória de ativos",IF(U263&gt;0,U263,-V263))</f>
        <v/>
      </c>
    </row>
    <row r="264">
      <c r="H264" s="79">
        <f>F264-G264</f>
        <v/>
      </c>
      <c r="W264" s="27">
        <f>IF(T264="Outros ativos circulantes:Adibras - Transitória de ativos",IF(U264&gt;0,U264,-V264))</f>
        <v/>
      </c>
    </row>
    <row r="265">
      <c r="H265" s="79">
        <f>F265-G265</f>
        <v/>
      </c>
      <c r="W265" s="27">
        <f>IF(T265="Outros ativos circulantes:Adibras - Transitória de ativos",IF(U265&gt;0,U265,-V265))</f>
        <v/>
      </c>
    </row>
    <row r="266">
      <c r="H266" s="79">
        <f>F266-G266</f>
        <v/>
      </c>
      <c r="W266" s="27">
        <f>IF(T266="Outros ativos circulantes:Adibras - Transitória de ativos",IF(U266&gt;0,U266,-V266))</f>
        <v/>
      </c>
    </row>
    <row r="267">
      <c r="H267" s="79">
        <f>F267-G267</f>
        <v/>
      </c>
      <c r="W267" s="27">
        <f>IF(T267="Outros ativos circulantes:Adibras - Transitória de ativos",IF(U267&gt;0,U267,-V267))</f>
        <v/>
      </c>
    </row>
    <row r="268">
      <c r="H268" s="79">
        <f>F268-G268</f>
        <v/>
      </c>
      <c r="W268" s="27">
        <f>IF(T268="Outros ativos circulantes:Adibras - Transitória de ativos",IF(U268&gt;0,U268,-V268))</f>
        <v/>
      </c>
    </row>
    <row r="269">
      <c r="H269" s="79">
        <f>F269-G269</f>
        <v/>
      </c>
      <c r="W269" s="27">
        <f>IF(T269="Outros ativos circulantes:Adibras - Transitória de ativos",IF(U269&gt;0,U269,-V269))</f>
        <v/>
      </c>
    </row>
    <row r="270">
      <c r="H270" s="79">
        <f>F270-G270</f>
        <v/>
      </c>
      <c r="W270" s="27">
        <f>IF(T270="Outros ativos circulantes:Adibras - Transitória de ativos",IF(U270&gt;0,U270,-V270))</f>
        <v/>
      </c>
    </row>
    <row r="271">
      <c r="H271" s="79">
        <f>F271-G271</f>
        <v/>
      </c>
      <c r="W271" s="27">
        <f>IF(T271="Outros ativos circulantes:Adibras - Transitória de ativos",IF(U271&gt;0,U271,-V271))</f>
        <v/>
      </c>
    </row>
    <row r="272">
      <c r="H272" s="79">
        <f>F272-G272</f>
        <v/>
      </c>
      <c r="W272" s="27">
        <f>IF(T272="Outros ativos circulantes:Adibras - Transitória de ativos",IF(U272&gt;0,U272,-V272))</f>
        <v/>
      </c>
    </row>
    <row r="273">
      <c r="H273" s="79">
        <f>F273-G273</f>
        <v/>
      </c>
      <c r="W273" s="27">
        <f>IF(T273="Outros ativos circulantes:Adibras - Transitória de ativos",IF(U273&gt;0,U273,-V273))</f>
        <v/>
      </c>
    </row>
    <row r="274">
      <c r="H274" s="79">
        <f>F274-G274</f>
        <v/>
      </c>
      <c r="W274" s="27">
        <f>IF(T274="Outros ativos circulantes:Adibras - Transitória de ativos",IF(U274&gt;0,U274,-V274))</f>
        <v/>
      </c>
    </row>
    <row r="275">
      <c r="H275" s="79">
        <f>F275-G275</f>
        <v/>
      </c>
      <c r="W275" s="27">
        <f>IF(T275="Outros ativos circulantes:Adibras - Transitória de ativos",IF(U275&gt;0,U275,-V275))</f>
        <v/>
      </c>
    </row>
    <row r="276">
      <c r="H276" s="79">
        <f>F276-G276</f>
        <v/>
      </c>
      <c r="W276" s="27">
        <f>IF(T276="Outros ativos circulantes:Adibras - Transitória de ativos",IF(U276&gt;0,U276,-V276))</f>
        <v/>
      </c>
    </row>
    <row r="277">
      <c r="H277" s="79">
        <f>F277-G277</f>
        <v/>
      </c>
      <c r="W277" s="27">
        <f>IF(T277="Outros ativos circulantes:Adibras - Transitória de ativos",IF(U277&gt;0,U277,-V277))</f>
        <v/>
      </c>
    </row>
    <row r="278">
      <c r="H278" s="79">
        <f>F278-G278</f>
        <v/>
      </c>
      <c r="W278" s="27">
        <f>IF(T278="Outros ativos circulantes:Adibras - Transitória de ativos",IF(U278&gt;0,U278,-V278))</f>
        <v/>
      </c>
    </row>
    <row r="279">
      <c r="H279" s="79">
        <f>F279-G279</f>
        <v/>
      </c>
      <c r="W279" s="27">
        <f>IF(T279="Outros ativos circulantes:Adibras - Transitória de ativos",IF(U279&gt;0,U279,-V279))</f>
        <v/>
      </c>
    </row>
    <row r="280">
      <c r="H280" s="79">
        <f>F280-G280</f>
        <v/>
      </c>
      <c r="W280" s="27">
        <f>IF(T280="Outros ativos circulantes:Adibras - Transitória de ativos",IF(U280&gt;0,U280,-V280))</f>
        <v/>
      </c>
    </row>
    <row r="281">
      <c r="H281" s="79">
        <f>F281-G281</f>
        <v/>
      </c>
      <c r="W281" s="27">
        <f>IF(T281="Outros ativos circulantes:Adibras - Transitória de ativos",IF(U281&gt;0,U281,-V281))</f>
        <v/>
      </c>
    </row>
    <row r="282">
      <c r="H282" s="79">
        <f>F282-G282</f>
        <v/>
      </c>
      <c r="W282" s="27">
        <f>IF(T282="Outros ativos circulantes:Adibras - Transitória de ativos",IF(U282&gt;0,U282,-V282))</f>
        <v/>
      </c>
    </row>
    <row r="283">
      <c r="H283" s="79">
        <f>F283-G283</f>
        <v/>
      </c>
      <c r="W283" s="27">
        <f>IF(T283="Outros ativos circulantes:Adibras - Transitória de ativos",IF(U283&gt;0,U283,-V283))</f>
        <v/>
      </c>
    </row>
    <row r="284">
      <c r="H284" s="79">
        <f>F284-G284</f>
        <v/>
      </c>
      <c r="W284" s="27">
        <f>IF(T284="Outros ativos circulantes:Adibras - Transitória de ativos",IF(U284&gt;0,U284,-V284))</f>
        <v/>
      </c>
    </row>
    <row r="285">
      <c r="H285" s="79">
        <f>F285-G285</f>
        <v/>
      </c>
      <c r="W285" s="27">
        <f>IF(T285="Outros ativos circulantes:Adibras - Transitória de ativos",IF(U285&gt;0,U285,-V285))</f>
        <v/>
      </c>
    </row>
    <row r="286">
      <c r="H286" s="79">
        <f>F286-G286</f>
        <v/>
      </c>
      <c r="W286" s="27">
        <f>IF(T286="Outros ativos circulantes:Adibras - Transitória de ativos",IF(U286&gt;0,U286,-V286))</f>
        <v/>
      </c>
    </row>
    <row r="287">
      <c r="H287" s="79">
        <f>F287-G287</f>
        <v/>
      </c>
      <c r="W287" s="27">
        <f>IF(T287="Outros ativos circulantes:Adibras - Transitória de ativos",IF(U287&gt;0,U287,-V287))</f>
        <v/>
      </c>
    </row>
    <row r="288">
      <c r="H288" s="79">
        <f>F288-G288</f>
        <v/>
      </c>
      <c r="W288" s="27">
        <f>IF(T288="Outros ativos circulantes:Adibras - Transitória de ativos",IF(U288&gt;0,U288,-V288))</f>
        <v/>
      </c>
    </row>
    <row r="289">
      <c r="H289" s="79">
        <f>F289-G289</f>
        <v/>
      </c>
      <c r="W289" s="27">
        <f>IF(T289="Outros ativos circulantes:Adibras - Transitória de ativos",IF(U289&gt;0,U289,-V289))</f>
        <v/>
      </c>
    </row>
    <row r="290">
      <c r="H290" s="79">
        <f>F290-G290</f>
        <v/>
      </c>
      <c r="W290" s="27">
        <f>IF(T290="Outros ativos circulantes:Adibras - Transitória de ativos",IF(U290&gt;0,U290,-V290))</f>
        <v/>
      </c>
    </row>
    <row r="291">
      <c r="H291" s="79">
        <f>F291-G291</f>
        <v/>
      </c>
      <c r="W291" s="27">
        <f>IF(T291="Outros ativos circulantes:Adibras - Transitória de ativos",IF(U291&gt;0,U291,-V291))</f>
        <v/>
      </c>
    </row>
    <row r="292">
      <c r="H292" s="79">
        <f>F292-G292</f>
        <v/>
      </c>
      <c r="W292" s="27">
        <f>IF(T292="Outros ativos circulantes:Adibras - Transitória de ativos",IF(U292&gt;0,U292,-V292))</f>
        <v/>
      </c>
    </row>
    <row r="293">
      <c r="H293" s="79">
        <f>F293-G293</f>
        <v/>
      </c>
      <c r="W293" s="27">
        <f>IF(T293="Outros ativos circulantes:Adibras - Transitória de ativos",IF(U293&gt;0,U293,-V293))</f>
        <v/>
      </c>
    </row>
    <row r="294">
      <c r="H294" s="79">
        <f>F294-G294</f>
        <v/>
      </c>
      <c r="W294" s="27">
        <f>IF(T294="Outros ativos circulantes:Adibras - Transitória de ativos",IF(U294&gt;0,U294,-V294))</f>
        <v/>
      </c>
    </row>
    <row r="295">
      <c r="H295" s="79">
        <f>F295-G295</f>
        <v/>
      </c>
      <c r="W295" s="27">
        <f>IF(T295="Outros ativos circulantes:Adibras - Transitória de ativos",IF(U295&gt;0,U295,-V295))</f>
        <v/>
      </c>
    </row>
    <row r="296">
      <c r="H296" s="79">
        <f>F296-G296</f>
        <v/>
      </c>
      <c r="W296" s="27">
        <f>IF(T296="Outros ativos circulantes:Adibras - Transitória de ativos",IF(U296&gt;0,U296,-V296))</f>
        <v/>
      </c>
    </row>
    <row r="297">
      <c r="H297" s="79">
        <f>F297-G297</f>
        <v/>
      </c>
      <c r="W297" s="27">
        <f>IF(T297="Outros ativos circulantes:Adibras - Transitória de ativos",IF(U297&gt;0,U297,-V297))</f>
        <v/>
      </c>
    </row>
    <row r="298">
      <c r="H298" s="79">
        <f>F298-G298</f>
        <v/>
      </c>
      <c r="W298" s="27">
        <f>IF(T298="Outros ativos circulantes:Adibras - Transitória de ativos",IF(U298&gt;0,U298,-V298))</f>
        <v/>
      </c>
    </row>
    <row r="299">
      <c r="H299" s="79">
        <f>F299-G299</f>
        <v/>
      </c>
      <c r="W299" s="27">
        <f>IF(T299="Outros ativos circulantes:Adibras - Transitória de ativos",IF(U299&gt;0,U299,-V299))</f>
        <v/>
      </c>
    </row>
    <row r="300">
      <c r="H300" s="79">
        <f>F300-G300</f>
        <v/>
      </c>
      <c r="W300" s="27">
        <f>IF(T300="Outros ativos circulantes:Adibras - Transitória de ativos",IF(U300&gt;0,U300,-V300))</f>
        <v/>
      </c>
    </row>
    <row r="301">
      <c r="H301" s="79">
        <f>F301-G301</f>
        <v/>
      </c>
      <c r="W301" s="27">
        <f>IF(T301="Outros ativos circulantes:Adibras - Transitória de ativos",IF(U301&gt;0,U301,-V301))</f>
        <v/>
      </c>
    </row>
    <row r="302">
      <c r="H302" s="79">
        <f>F302-G302</f>
        <v/>
      </c>
      <c r="W302" s="27">
        <f>IF(T302="Outros ativos circulantes:Adibras - Transitória de ativos",IF(U302&gt;0,U302,-V302))</f>
        <v/>
      </c>
    </row>
    <row r="303">
      <c r="H303" s="79">
        <f>F303-G303</f>
        <v/>
      </c>
      <c r="W303" s="27">
        <f>IF(T303="Outros ativos circulantes:Adibras - Transitória de ativos",IF(U303&gt;0,U303,-V303))</f>
        <v/>
      </c>
    </row>
    <row r="304">
      <c r="H304" s="79">
        <f>F304-G304</f>
        <v/>
      </c>
      <c r="W304" s="27">
        <f>IF(T304="Outros ativos circulantes:Adibras - Transitória de ativos",IF(U304&gt;0,U304,-V304))</f>
        <v/>
      </c>
    </row>
    <row r="305">
      <c r="H305" s="79">
        <f>F305-G305</f>
        <v/>
      </c>
      <c r="W305" s="27">
        <f>IF(T305="Outros ativos circulantes:Adibras - Transitória de ativos",IF(U305&gt;0,U305,-V305))</f>
        <v/>
      </c>
    </row>
    <row r="306">
      <c r="H306" s="79">
        <f>F306-G306</f>
        <v/>
      </c>
      <c r="W306" s="27">
        <f>IF(T306="Outros ativos circulantes:Adibras - Transitória de ativos",IF(U306&gt;0,U306,-V306))</f>
        <v/>
      </c>
    </row>
    <row r="307">
      <c r="H307" s="79">
        <f>F307-G307</f>
        <v/>
      </c>
      <c r="W307" s="27">
        <f>IF(T307="Outros ativos circulantes:Adibras - Transitória de ativos",IF(U307&gt;0,U307,-V307))</f>
        <v/>
      </c>
    </row>
    <row r="308">
      <c r="H308" s="79">
        <f>F308-G308</f>
        <v/>
      </c>
      <c r="W308" s="27">
        <f>IF(T308="Outros ativos circulantes:Adibras - Transitória de ativos",IF(U308&gt;0,U308,-V308))</f>
        <v/>
      </c>
    </row>
    <row r="309">
      <c r="H309" s="79">
        <f>F309-G309</f>
        <v/>
      </c>
      <c r="W309" s="27">
        <f>IF(T309="Outros ativos circulantes:Adibras - Transitória de ativos",IF(U309&gt;0,U309,-V309))</f>
        <v/>
      </c>
    </row>
    <row r="310">
      <c r="H310" s="79">
        <f>F310-G310</f>
        <v/>
      </c>
      <c r="W310" s="27">
        <f>IF(T310="Outros ativos circulantes:Adibras - Transitória de ativos",IF(U310&gt;0,U310,-V310))</f>
        <v/>
      </c>
    </row>
    <row r="311">
      <c r="H311" s="79">
        <f>F311-G311</f>
        <v/>
      </c>
      <c r="W311" s="27">
        <f>IF(T311="Outros ativos circulantes:Adibras - Transitória de ativos",IF(U311&gt;0,U311,-V311))</f>
        <v/>
      </c>
    </row>
    <row r="312">
      <c r="H312" s="79">
        <f>F312-G312</f>
        <v/>
      </c>
      <c r="W312" s="27">
        <f>IF(T312="Outros ativos circulantes:Adibras - Transitória de ativos",IF(U312&gt;0,U312,-V312))</f>
        <v/>
      </c>
    </row>
    <row r="313">
      <c r="H313" s="79">
        <f>F313-G313</f>
        <v/>
      </c>
      <c r="W313" s="27">
        <f>IF(T313="Outros ativos circulantes:Adibras - Transitória de ativos",IF(U313&gt;0,U313,-V313))</f>
        <v/>
      </c>
    </row>
    <row r="314">
      <c r="H314" s="79">
        <f>F314-G314</f>
        <v/>
      </c>
      <c r="W314" s="27">
        <f>IF(T314="Outros ativos circulantes:Adibras - Transitória de ativos",IF(U314&gt;0,U314,-V314))</f>
        <v/>
      </c>
    </row>
    <row r="315">
      <c r="H315" s="79">
        <f>F315-G315</f>
        <v/>
      </c>
      <c r="W315" s="27">
        <f>IF(T315="Outros ativos circulantes:Adibras - Transitória de ativos",IF(U315&gt;0,U315,-V315))</f>
        <v/>
      </c>
    </row>
    <row r="316">
      <c r="H316" s="79">
        <f>F316-G316</f>
        <v/>
      </c>
      <c r="W316" s="27">
        <f>IF(T316="Outros ativos circulantes:Adibras - Transitória de ativos",IF(U316&gt;0,U316,-V316))</f>
        <v/>
      </c>
    </row>
    <row r="317">
      <c r="H317" s="79">
        <f>F317-G317</f>
        <v/>
      </c>
      <c r="W317" s="27">
        <f>IF(T317="Outros ativos circulantes:Adibras - Transitória de ativos",IF(U317&gt;0,U317,-V317))</f>
        <v/>
      </c>
    </row>
    <row r="318">
      <c r="H318" s="79">
        <f>F318-G318</f>
        <v/>
      </c>
      <c r="W318" s="27">
        <f>IF(T318="Outros ativos circulantes:Adibras - Transitória de ativos",IF(U318&gt;0,U318,-V318))</f>
        <v/>
      </c>
    </row>
    <row r="319">
      <c r="H319" s="79">
        <f>F319-G319</f>
        <v/>
      </c>
      <c r="W319" s="27">
        <f>IF(T319="Outros ativos circulantes:Adibras - Transitória de ativos",IF(U319&gt;0,U319,-V319))</f>
        <v/>
      </c>
    </row>
    <row r="320">
      <c r="H320" s="79">
        <f>F320-G320</f>
        <v/>
      </c>
      <c r="W320" s="27">
        <f>IF(T320="Outros ativos circulantes:Adibras - Transitória de ativos",IF(U320&gt;0,U320,-V320))</f>
        <v/>
      </c>
    </row>
    <row r="321">
      <c r="H321" s="79">
        <f>F321-G321</f>
        <v/>
      </c>
      <c r="W321" s="27">
        <f>IF(T321="Outros ativos circulantes:Adibras - Transitória de ativos",IF(U321&gt;0,U321,-V321))</f>
        <v/>
      </c>
    </row>
    <row r="322">
      <c r="H322" s="79">
        <f>F322-G322</f>
        <v/>
      </c>
      <c r="W322" s="27">
        <f>IF(T322="Outros ativos circulantes:Adibras - Transitória de ativos",IF(U322&gt;0,U322,-V322))</f>
        <v/>
      </c>
    </row>
    <row r="323">
      <c r="H323" s="79">
        <f>F323-G323</f>
        <v/>
      </c>
      <c r="W323" s="27">
        <f>IF(T323="Outros ativos circulantes:Adibras - Transitória de ativos",IF(U323&gt;0,U323,-V323))</f>
        <v/>
      </c>
    </row>
    <row r="324">
      <c r="H324" s="79">
        <f>F324-G324</f>
        <v/>
      </c>
      <c r="W324" s="27">
        <f>IF(T324="Outros ativos circulantes:Adibras - Transitória de ativos",IF(U324&gt;0,U324,-V324))</f>
        <v/>
      </c>
    </row>
    <row r="325">
      <c r="H325" s="79">
        <f>F325-G325</f>
        <v/>
      </c>
      <c r="W325" s="27">
        <f>IF(T325="Outros ativos circulantes:Adibras - Transitória de ativos",IF(U325&gt;0,U325,-V325))</f>
        <v/>
      </c>
    </row>
    <row r="326">
      <c r="H326" s="79">
        <f>F326-G326</f>
        <v/>
      </c>
      <c r="W326" s="27">
        <f>IF(T326="Outros ativos circulantes:Adibras - Transitória de ativos",IF(U326&gt;0,U326,-V326))</f>
        <v/>
      </c>
    </row>
    <row r="327">
      <c r="H327" s="79">
        <f>F327-G327</f>
        <v/>
      </c>
      <c r="W327" s="27">
        <f>IF(T327="Outros ativos circulantes:Adibras - Transitória de ativos",IF(U327&gt;0,U327,-V327))</f>
        <v/>
      </c>
    </row>
    <row r="328">
      <c r="H328" s="79">
        <f>F328-G328</f>
        <v/>
      </c>
      <c r="W328" s="27">
        <f>IF(T328="Outros ativos circulantes:Adibras - Transitória de ativos",IF(U328&gt;0,U328,-V328))</f>
        <v/>
      </c>
    </row>
    <row r="329">
      <c r="H329" s="79">
        <f>F329-G329</f>
        <v/>
      </c>
      <c r="W329" s="27">
        <f>IF(T329="Outros ativos circulantes:Adibras - Transitória de ativos",IF(U329&gt;0,U329,-V329))</f>
        <v/>
      </c>
    </row>
    <row r="330">
      <c r="H330" s="79">
        <f>F330-G330</f>
        <v/>
      </c>
      <c r="W330" s="27">
        <f>IF(T330="Outros ativos circulantes:Adibras - Transitória de ativos",IF(U330&gt;0,U330,-V330))</f>
        <v/>
      </c>
    </row>
    <row r="331">
      <c r="H331" s="79">
        <f>F331-G331</f>
        <v/>
      </c>
      <c r="W331" s="27">
        <f>IF(T331="Outros ativos circulantes:Adibras - Transitória de ativos",IF(U331&gt;0,U331,-V331))</f>
        <v/>
      </c>
    </row>
    <row r="332">
      <c r="H332" s="79">
        <f>F332-G332</f>
        <v/>
      </c>
      <c r="W332" s="27">
        <f>IF(T332="Outros ativos circulantes:Adibras - Transitória de ativos",IF(U332&gt;0,U332,-V332))</f>
        <v/>
      </c>
    </row>
    <row r="333">
      <c r="H333" s="79">
        <f>F333-G333</f>
        <v/>
      </c>
      <c r="W333" s="27">
        <f>IF(T333="Outros ativos circulantes:Adibras - Transitória de ativos",IF(U333&gt;0,U333,-V333))</f>
        <v/>
      </c>
    </row>
    <row r="334">
      <c r="H334" s="79">
        <f>F334-G334</f>
        <v/>
      </c>
      <c r="W334" s="27">
        <f>IF(T334="Outros ativos circulantes:Adibras - Transitória de ativos",IF(U334&gt;0,U334,-V334))</f>
        <v/>
      </c>
    </row>
    <row r="335">
      <c r="H335" s="79">
        <f>F335-G335</f>
        <v/>
      </c>
      <c r="W335" s="27">
        <f>IF(T335="Outros ativos circulantes:Adibras - Transitória de ativos",IF(U335&gt;0,U335,-V335))</f>
        <v/>
      </c>
    </row>
    <row r="336">
      <c r="H336" s="79">
        <f>F336-G336</f>
        <v/>
      </c>
      <c r="W336" s="27">
        <f>IF(T336="Outros ativos circulantes:Adibras - Transitória de ativos",IF(U336&gt;0,U336,-V336))</f>
        <v/>
      </c>
    </row>
    <row r="337">
      <c r="H337" s="79">
        <f>F337-G337</f>
        <v/>
      </c>
      <c r="W337" s="27">
        <f>IF(T337="Outros ativos circulantes:Adibras - Transitória de ativos",IF(U337&gt;0,U337,-V337))</f>
        <v/>
      </c>
    </row>
    <row r="338">
      <c r="H338" s="79">
        <f>F338-G338</f>
        <v/>
      </c>
      <c r="W338" s="27">
        <f>IF(T338="Outros ativos circulantes:Adibras - Transitória de ativos",IF(U338&gt;0,U338,-V338))</f>
        <v/>
      </c>
    </row>
    <row r="339">
      <c r="H339" s="79">
        <f>F339-G339</f>
        <v/>
      </c>
      <c r="W339" s="27">
        <f>IF(T339="Outros ativos circulantes:Adibras - Transitória de ativos",IF(U339&gt;0,U339,-V339))</f>
        <v/>
      </c>
    </row>
    <row r="340">
      <c r="H340" s="79">
        <f>F340-G340</f>
        <v/>
      </c>
      <c r="W340" s="27">
        <f>IF(T340="Outros ativos circulantes:Adibras - Transitória de ativos",IF(U340&gt;0,U340,-V340))</f>
        <v/>
      </c>
    </row>
    <row r="341">
      <c r="H341" s="79">
        <f>F341-G341</f>
        <v/>
      </c>
      <c r="W341" s="27">
        <f>IF(T341="Outros ativos circulantes:Adibras - Transitória de ativos",IF(U341&gt;0,U341,-V341))</f>
        <v/>
      </c>
    </row>
    <row r="342">
      <c r="H342" s="79">
        <f>F342-G342</f>
        <v/>
      </c>
      <c r="W342" s="27">
        <f>IF(T342="Outros ativos circulantes:Adibras - Transitória de ativos",IF(U342&gt;0,U342,-V342))</f>
        <v/>
      </c>
    </row>
    <row r="343">
      <c r="H343" s="79">
        <f>F343-G343</f>
        <v/>
      </c>
      <c r="W343" s="27">
        <f>IF(T343="Outros ativos circulantes:Adibras - Transitória de ativos",IF(U343&gt;0,U343,-V343))</f>
        <v/>
      </c>
    </row>
    <row r="344">
      <c r="H344" s="79">
        <f>F344-G344</f>
        <v/>
      </c>
      <c r="W344" s="27">
        <f>IF(T344="Outros ativos circulantes:Adibras - Transitória de ativos",IF(U344&gt;0,U344,-V344))</f>
        <v/>
      </c>
    </row>
    <row r="345">
      <c r="H345" s="79">
        <f>F345-G345</f>
        <v/>
      </c>
      <c r="W345" s="27">
        <f>IF(T345="Outros ativos circulantes:Adibras - Transitória de ativos",IF(U345&gt;0,U345,-V345))</f>
        <v/>
      </c>
    </row>
    <row r="346">
      <c r="H346" s="79">
        <f>F346-G346</f>
        <v/>
      </c>
      <c r="W346" s="27">
        <f>IF(T346="Outros ativos circulantes:Adibras - Transitória de ativos",IF(U346&gt;0,U346,-V346))</f>
        <v/>
      </c>
    </row>
    <row r="347">
      <c r="H347" s="79">
        <f>F347-G347</f>
        <v/>
      </c>
      <c r="W347" s="27">
        <f>IF(T347="Outros ativos circulantes:Adibras - Transitória de ativos",IF(U347&gt;0,U347,-V347))</f>
        <v/>
      </c>
    </row>
    <row r="348">
      <c r="H348" s="79">
        <f>F348-G348</f>
        <v/>
      </c>
      <c r="W348" s="27">
        <f>IF(T348="Outros ativos circulantes:Adibras - Transitória de ativos",IF(U348&gt;0,U348,-V348))</f>
        <v/>
      </c>
    </row>
    <row r="349">
      <c r="H349" s="79">
        <f>F349-G349</f>
        <v/>
      </c>
      <c r="W349" s="27">
        <f>IF(T349="Outros ativos circulantes:Adibras - Transitória de ativos",IF(U349&gt;0,U349,-V349))</f>
        <v/>
      </c>
    </row>
    <row r="350">
      <c r="H350" s="79">
        <f>F350-G350</f>
        <v/>
      </c>
      <c r="W350" s="27">
        <f>IF(T350="Outros ativos circulantes:Adibras - Transitória de ativos",IF(U350&gt;0,U350,-V350))</f>
        <v/>
      </c>
    </row>
    <row r="351">
      <c r="H351" s="79">
        <f>F351-G351</f>
        <v/>
      </c>
      <c r="W351" s="27">
        <f>IF(T351="Outros ativos circulantes:Adibras - Transitória de ativos",IF(U351&gt;0,U351,-V351))</f>
        <v/>
      </c>
    </row>
    <row r="352">
      <c r="H352" s="79">
        <f>F352-G352</f>
        <v/>
      </c>
      <c r="W352" s="27">
        <f>IF(T352="Outros ativos circulantes:Adibras - Transitória de ativos",IF(U352&gt;0,U352,-V352))</f>
        <v/>
      </c>
    </row>
    <row r="353">
      <c r="H353" s="79">
        <f>F353-G353</f>
        <v/>
      </c>
      <c r="W353" s="27">
        <f>IF(T353="Outros ativos circulantes:Adibras - Transitória de ativos",IF(U353&gt;0,U353,-V353))</f>
        <v/>
      </c>
    </row>
    <row r="354">
      <c r="H354" s="79">
        <f>F354-G354</f>
        <v/>
      </c>
      <c r="W354" s="27">
        <f>IF(T354="Outros ativos circulantes:Adibras - Transitória de ativos",IF(U354&gt;0,U354,-V354))</f>
        <v/>
      </c>
    </row>
    <row r="355">
      <c r="H355" s="79">
        <f>F355-G355</f>
        <v/>
      </c>
      <c r="W355" s="27">
        <f>IF(T355="Outros ativos circulantes:Adibras - Transitória de ativos",IF(U355&gt;0,U355,-V355))</f>
        <v/>
      </c>
    </row>
    <row r="356">
      <c r="H356" s="79">
        <f>F356-G356</f>
        <v/>
      </c>
      <c r="W356" s="27">
        <f>IF(T356="Outros ativos circulantes:Adibras - Transitória de ativos",IF(U356&gt;0,U356,-V356))</f>
        <v/>
      </c>
    </row>
    <row r="357">
      <c r="H357" s="79">
        <f>F357-G357</f>
        <v/>
      </c>
      <c r="W357" s="27">
        <f>IF(T357="Outros ativos circulantes:Adibras - Transitória de ativos",IF(U357&gt;0,U357,-V357))</f>
        <v/>
      </c>
    </row>
    <row r="358">
      <c r="H358" s="79">
        <f>F358-G358</f>
        <v/>
      </c>
      <c r="W358" s="27">
        <f>IF(T358="Outros ativos circulantes:Adibras - Transitória de ativos",IF(U358&gt;0,U358,-V358))</f>
        <v/>
      </c>
    </row>
    <row r="359">
      <c r="H359" s="79">
        <f>F359-G359</f>
        <v/>
      </c>
      <c r="W359" s="27">
        <f>IF(T359="Outros ativos circulantes:Adibras - Transitória de ativos",IF(U359&gt;0,U359,-V359))</f>
        <v/>
      </c>
    </row>
    <row r="360">
      <c r="H360" s="79">
        <f>F360-G360</f>
        <v/>
      </c>
      <c r="W360" s="27">
        <f>IF(T360="Outros ativos circulantes:Adibras - Transitória de ativos",IF(U360&gt;0,U360,-V360))</f>
        <v/>
      </c>
    </row>
    <row r="361">
      <c r="H361" s="79">
        <f>F361-G361</f>
        <v/>
      </c>
      <c r="W361" s="27">
        <f>IF(T361="Outros ativos circulantes:Adibras - Transitória de ativos",IF(U361&gt;0,U361,-V361))</f>
        <v/>
      </c>
    </row>
    <row r="362">
      <c r="H362" s="79">
        <f>F362-G362</f>
        <v/>
      </c>
      <c r="W362" s="27">
        <f>IF(T362="Outros ativos circulantes:Adibras - Transitória de ativos",IF(U362&gt;0,U362,-V362))</f>
        <v/>
      </c>
    </row>
    <row r="363">
      <c r="H363" s="79">
        <f>F363-G363</f>
        <v/>
      </c>
      <c r="W363" s="27">
        <f>IF(T363="Outros ativos circulantes:Adibras - Transitória de ativos",IF(U363&gt;0,U363,-V363))</f>
        <v/>
      </c>
    </row>
    <row r="364">
      <c r="H364" s="79">
        <f>F364-G364</f>
        <v/>
      </c>
      <c r="W364" s="27">
        <f>IF(T364="Outros ativos circulantes:Adibras - Transitória de ativos",IF(U364&gt;0,U364,-V364))</f>
        <v/>
      </c>
    </row>
    <row r="365">
      <c r="H365" s="79">
        <f>F365-G365</f>
        <v/>
      </c>
      <c r="W365" s="27">
        <f>IF(T365="Outros ativos circulantes:Adibras - Transitória de ativos",IF(U365&gt;0,U365,-V365))</f>
        <v/>
      </c>
    </row>
    <row r="366">
      <c r="H366" s="79">
        <f>F366-G366</f>
        <v/>
      </c>
      <c r="W366" s="27">
        <f>IF(T366="Outros ativos circulantes:Adibras - Transitória de ativos",IF(U366&gt;0,U366,-V366))</f>
        <v/>
      </c>
    </row>
    <row r="367">
      <c r="H367" s="79">
        <f>F367-G367</f>
        <v/>
      </c>
      <c r="W367" s="27">
        <f>IF(T367="Outros ativos circulantes:Adibras - Transitória de ativos",IF(U367&gt;0,U367,-V367))</f>
        <v/>
      </c>
    </row>
    <row r="368">
      <c r="H368" s="79">
        <f>F368-G368</f>
        <v/>
      </c>
      <c r="W368" s="27">
        <f>IF(T368="Outros ativos circulantes:Adibras - Transitória de ativos",IF(U368&gt;0,U368,-V368))</f>
        <v/>
      </c>
    </row>
    <row r="369">
      <c r="H369" s="79">
        <f>F369-G369</f>
        <v/>
      </c>
      <c r="W369" s="27">
        <f>IF(T369="Outros ativos circulantes:Adibras - Transitória de ativos",IF(U369&gt;0,U369,-V369))</f>
        <v/>
      </c>
    </row>
    <row r="370">
      <c r="H370" s="79">
        <f>F370-G370</f>
        <v/>
      </c>
      <c r="W370" s="27">
        <f>IF(T370="Outros ativos circulantes:Adibras - Transitória de ativos",IF(U370&gt;0,U370,-V370))</f>
        <v/>
      </c>
    </row>
    <row r="371">
      <c r="H371" s="79">
        <f>F371-G371</f>
        <v/>
      </c>
      <c r="W371" s="27">
        <f>IF(T371="Outros ativos circulantes:Adibras - Transitória de ativos",IF(U371&gt;0,U371,-V371))</f>
        <v/>
      </c>
    </row>
    <row r="372">
      <c r="H372" s="79">
        <f>F372-G372</f>
        <v/>
      </c>
      <c r="W372" s="27">
        <f>IF(T372="Outros ativos circulantes:Adibras - Transitória de ativos",IF(U372&gt;0,U372,-V372))</f>
        <v/>
      </c>
    </row>
    <row r="373">
      <c r="H373" s="79">
        <f>F373-G373</f>
        <v/>
      </c>
      <c r="W373" s="27">
        <f>IF(T373="Outros ativos circulantes:Adibras - Transitória de ativos",IF(U373&gt;0,U373,-V373))</f>
        <v/>
      </c>
    </row>
    <row r="374">
      <c r="H374" s="79">
        <f>F374-G374</f>
        <v/>
      </c>
      <c r="W374" s="27">
        <f>IF(T374="Outros ativos circulantes:Adibras - Transitória de ativos",IF(U374&gt;0,U374,-V374))</f>
        <v/>
      </c>
    </row>
    <row r="375">
      <c r="H375" s="79">
        <f>F375-G375</f>
        <v/>
      </c>
      <c r="W375" s="27">
        <f>IF(T375="Outros ativos circulantes:Adibras - Transitória de ativos",IF(U375&gt;0,U375,-V375))</f>
        <v/>
      </c>
    </row>
    <row r="376">
      <c r="H376" s="79">
        <f>F376-G376</f>
        <v/>
      </c>
      <c r="W376" s="27">
        <f>IF(T376="Outros ativos circulantes:Adibras - Transitória de ativos",IF(U376&gt;0,U376,-V376))</f>
        <v/>
      </c>
    </row>
    <row r="377">
      <c r="H377" s="79">
        <f>F377-G377</f>
        <v/>
      </c>
      <c r="W377" s="27">
        <f>IF(T377="Outros ativos circulantes:Adibras - Transitória de ativos",IF(U377&gt;0,U377,-V377))</f>
        <v/>
      </c>
    </row>
    <row r="378">
      <c r="H378" s="79">
        <f>F378-G378</f>
        <v/>
      </c>
      <c r="W378" s="27">
        <f>IF(T378="Outros ativos circulantes:Adibras - Transitória de ativos",IF(U378&gt;0,U378,-V378))</f>
        <v/>
      </c>
    </row>
    <row r="379">
      <c r="H379" s="79">
        <f>F379-G379</f>
        <v/>
      </c>
      <c r="W379" s="27">
        <f>IF(T379="Outros ativos circulantes:Adibras - Transitória de ativos",IF(U379&gt;0,U379,-V379))</f>
        <v/>
      </c>
    </row>
    <row r="380">
      <c r="H380" s="79">
        <f>F380-G380</f>
        <v/>
      </c>
      <c r="W380" s="27">
        <f>IF(T380="Outros ativos circulantes:Adibras - Transitória de ativos",IF(U380&gt;0,U380,-V380))</f>
        <v/>
      </c>
    </row>
    <row r="381">
      <c r="H381" s="79">
        <f>F381-G381</f>
        <v/>
      </c>
      <c r="W381" s="27">
        <f>IF(T381="Outros ativos circulantes:Adibras - Transitória de ativos",IF(U381&gt;0,U381,-V381))</f>
        <v/>
      </c>
    </row>
    <row r="382">
      <c r="H382" s="79">
        <f>F382-G382</f>
        <v/>
      </c>
      <c r="W382" s="27">
        <f>IF(T382="Outros ativos circulantes:Adibras - Transitória de ativos",IF(U382&gt;0,U382,-V382))</f>
        <v/>
      </c>
    </row>
    <row r="383">
      <c r="H383" s="79">
        <f>F383-G383</f>
        <v/>
      </c>
      <c r="W383" s="27">
        <f>IF(T383="Outros ativos circulantes:Adibras - Transitória de ativos",IF(U383&gt;0,U383,-V383))</f>
        <v/>
      </c>
    </row>
    <row r="384">
      <c r="H384" s="79">
        <f>F384-G384</f>
        <v/>
      </c>
      <c r="W384" s="27">
        <f>IF(T384="Outros ativos circulantes:Adibras - Transitória de ativos",IF(U384&gt;0,U384,-V384))</f>
        <v/>
      </c>
    </row>
    <row r="385">
      <c r="H385" s="79">
        <f>F385-G385</f>
        <v/>
      </c>
      <c r="W385" s="27">
        <f>IF(T385="Outros ativos circulantes:Adibras - Transitória de ativos",IF(U385&gt;0,U385,-V385))</f>
        <v/>
      </c>
    </row>
    <row r="386">
      <c r="H386" s="79">
        <f>F386-G386</f>
        <v/>
      </c>
      <c r="W386" s="27">
        <f>IF(T386="Outros ativos circulantes:Adibras - Transitória de ativos",IF(U386&gt;0,U386,-V386))</f>
        <v/>
      </c>
    </row>
    <row r="387">
      <c r="H387" s="79">
        <f>F387-G387</f>
        <v/>
      </c>
      <c r="W387" s="27">
        <f>IF(T387="Outros ativos circulantes:Adibras - Transitória de ativos",IF(U387&gt;0,U387,-V387))</f>
        <v/>
      </c>
    </row>
    <row r="388">
      <c r="H388" s="79">
        <f>F388-G388</f>
        <v/>
      </c>
      <c r="W388" s="27">
        <f>IF(T388="Outros ativos circulantes:Adibras - Transitória de ativos",IF(U388&gt;0,U388,-V388))</f>
        <v/>
      </c>
    </row>
    <row r="389">
      <c r="H389" s="79">
        <f>F389-G389</f>
        <v/>
      </c>
      <c r="W389" s="27">
        <f>IF(T389="Outros ativos circulantes:Adibras - Transitória de ativos",IF(U389&gt;0,U389,-V389))</f>
        <v/>
      </c>
    </row>
    <row r="390">
      <c r="H390" s="79">
        <f>F390-G390</f>
        <v/>
      </c>
      <c r="W390" s="27">
        <f>IF(T390="Outros ativos circulantes:Adibras - Transitória de ativos",IF(U390&gt;0,U390,-V390))</f>
        <v/>
      </c>
    </row>
    <row r="391">
      <c r="H391" s="79">
        <f>F391-G391</f>
        <v/>
      </c>
      <c r="W391" s="27">
        <f>IF(T391="Outros ativos circulantes:Adibras - Transitória de ativos",IF(U391&gt;0,U391,-V391))</f>
        <v/>
      </c>
    </row>
    <row r="392">
      <c r="H392" s="79">
        <f>F392-G392</f>
        <v/>
      </c>
      <c r="W392" s="27">
        <f>IF(T392="Outros ativos circulantes:Adibras - Transitória de ativos",IF(U392&gt;0,U392,-V392))</f>
        <v/>
      </c>
    </row>
    <row r="393">
      <c r="H393" s="79">
        <f>F393-G393</f>
        <v/>
      </c>
      <c r="W393" s="27">
        <f>IF(T393="Outros ativos circulantes:Adibras - Transitória de ativos",IF(U393&gt;0,U393,-V393))</f>
        <v/>
      </c>
    </row>
    <row r="394">
      <c r="H394" s="79">
        <f>F394-G394</f>
        <v/>
      </c>
      <c r="W394" s="27">
        <f>IF(T394="Outros ativos circulantes:Adibras - Transitória de ativos",IF(U394&gt;0,U394,-V394))</f>
        <v/>
      </c>
    </row>
    <row r="395">
      <c r="H395" s="79">
        <f>F395-G395</f>
        <v/>
      </c>
      <c r="W395" s="27">
        <f>IF(T395="Outros ativos circulantes:Adibras - Transitória de ativos",IF(U395&gt;0,U395,-V395))</f>
        <v/>
      </c>
    </row>
    <row r="396">
      <c r="H396" s="79">
        <f>F396-G396</f>
        <v/>
      </c>
      <c r="W396" s="27">
        <f>IF(T396="Outros ativos circulantes:Adibras - Transitória de ativos",IF(U396&gt;0,U396,-V396))</f>
        <v/>
      </c>
    </row>
    <row r="397">
      <c r="H397" s="79">
        <f>F397-G397</f>
        <v/>
      </c>
      <c r="W397" s="27">
        <f>IF(T397="Outros ativos circulantes:Adibras - Transitória de ativos",IF(U397&gt;0,U397,-V397))</f>
        <v/>
      </c>
    </row>
    <row r="398">
      <c r="H398" s="79">
        <f>F398-G398</f>
        <v/>
      </c>
      <c r="W398" s="27">
        <f>IF(T398="Outros ativos circulantes:Adibras - Transitória de ativos",IF(U398&gt;0,U398,-V398))</f>
        <v/>
      </c>
    </row>
    <row r="399">
      <c r="H399" s="79">
        <f>F399-G399</f>
        <v/>
      </c>
      <c r="W399" s="27">
        <f>IF(T399="Outros ativos circulantes:Adibras - Transitória de ativos",IF(U399&gt;0,U399,-V399))</f>
        <v/>
      </c>
    </row>
    <row r="400">
      <c r="H400" s="79">
        <f>F400-G400</f>
        <v/>
      </c>
      <c r="W400" s="27">
        <f>IF(T400="Outros ativos circulantes:Adibras - Transitória de ativos",IF(U400&gt;0,U400,-V400))</f>
        <v/>
      </c>
    </row>
    <row r="401">
      <c r="H401" s="79">
        <f>F401-G401</f>
        <v/>
      </c>
      <c r="W401" s="27">
        <f>IF(T401="Outros ativos circulantes:Adibras - Transitória de ativos",IF(U401&gt;0,U401,-V401))</f>
        <v/>
      </c>
    </row>
    <row r="402">
      <c r="H402" s="79">
        <f>F402-G402</f>
        <v/>
      </c>
      <c r="W402" s="27">
        <f>IF(T402="Outros ativos circulantes:Adibras - Transitória de ativos",IF(U402&gt;0,U402,-V402))</f>
        <v/>
      </c>
    </row>
    <row r="403">
      <c r="H403" s="79">
        <f>F403-G403</f>
        <v/>
      </c>
      <c r="W403" s="27">
        <f>IF(T403="Outros ativos circulantes:Adibras - Transitória de ativos",IF(U403&gt;0,U403,-V403))</f>
        <v/>
      </c>
    </row>
    <row r="404">
      <c r="H404" s="79">
        <f>F404-G404</f>
        <v/>
      </c>
      <c r="W404" s="27">
        <f>IF(T404="Outros ativos circulantes:Adibras - Transitória de ativos",IF(U404&gt;0,U404,-V404))</f>
        <v/>
      </c>
    </row>
    <row r="405">
      <c r="H405" s="79">
        <f>F405-G405</f>
        <v/>
      </c>
      <c r="W405" s="27">
        <f>IF(T405="Outros ativos circulantes:Adibras - Transitória de ativos",IF(U405&gt;0,U405,-V405))</f>
        <v/>
      </c>
    </row>
    <row r="406">
      <c r="H406" s="79">
        <f>F406-G406</f>
        <v/>
      </c>
      <c r="W406" s="27">
        <f>IF(T406="Outros ativos circulantes:Adibras - Transitória de ativos",IF(U406&gt;0,U406,-V406))</f>
        <v/>
      </c>
    </row>
    <row r="407">
      <c r="H407" s="79">
        <f>F407-G407</f>
        <v/>
      </c>
      <c r="W407" s="27">
        <f>IF(T407="Outros ativos circulantes:Adibras - Transitória de ativos",IF(U407&gt;0,U407,-V407))</f>
        <v/>
      </c>
    </row>
    <row r="408">
      <c r="H408" s="79">
        <f>F408-G408</f>
        <v/>
      </c>
      <c r="W408" s="27">
        <f>IF(T408="Outros ativos circulantes:Adibras - Transitória de ativos",IF(U408&gt;0,U408,-V408))</f>
        <v/>
      </c>
    </row>
    <row r="409">
      <c r="H409" s="79">
        <f>F409-G409</f>
        <v/>
      </c>
      <c r="W409" s="27">
        <f>IF(T409="Outros ativos circulantes:Adibras - Transitória de ativos",IF(U409&gt;0,U409,-V409))</f>
        <v/>
      </c>
    </row>
    <row r="410">
      <c r="H410" s="79">
        <f>F410-G410</f>
        <v/>
      </c>
      <c r="W410" s="27">
        <f>IF(T410="Outros ativos circulantes:Adibras - Transitória de ativos",IF(U410&gt;0,U410,-V410))</f>
        <v/>
      </c>
    </row>
    <row r="411">
      <c r="H411" s="79">
        <f>F411-G411</f>
        <v/>
      </c>
      <c r="W411" s="27">
        <f>IF(T411="Outros ativos circulantes:Adibras - Transitória de ativos",IF(U411&gt;0,U411,-V411))</f>
        <v/>
      </c>
    </row>
    <row r="412">
      <c r="H412" s="79">
        <f>F412-G412</f>
        <v/>
      </c>
      <c r="W412" s="27">
        <f>IF(T412="Outros ativos circulantes:Adibras - Transitória de ativos",IF(U412&gt;0,U412,-V412))</f>
        <v/>
      </c>
    </row>
    <row r="413">
      <c r="H413" s="79">
        <f>F413-G413</f>
        <v/>
      </c>
      <c r="W413" s="27">
        <f>IF(T413="Outros ativos circulantes:Adibras - Transitória de ativos",IF(U413&gt;0,U413,-V413))</f>
        <v/>
      </c>
    </row>
    <row r="414">
      <c r="H414" s="79">
        <f>F414-G414</f>
        <v/>
      </c>
      <c r="W414" s="27">
        <f>IF(T414="Outros ativos circulantes:Adibras - Transitória de ativos",IF(U414&gt;0,U414,-V414))</f>
        <v/>
      </c>
    </row>
    <row r="415">
      <c r="H415" s="79">
        <f>F415-G415</f>
        <v/>
      </c>
      <c r="W415" s="27">
        <f>IF(T415="Outros ativos circulantes:Adibras - Transitória de ativos",IF(U415&gt;0,U415,-V415))</f>
        <v/>
      </c>
    </row>
    <row r="416">
      <c r="H416" s="79">
        <f>F416-G416</f>
        <v/>
      </c>
      <c r="W416" s="27">
        <f>IF(T416="Outros ativos circulantes:Adibras - Transitória de ativos",IF(U416&gt;0,U416,-V416))</f>
        <v/>
      </c>
    </row>
    <row r="417">
      <c r="H417" s="79">
        <f>F417-G417</f>
        <v/>
      </c>
      <c r="W417" s="27">
        <f>IF(T417="Outros ativos circulantes:Adibras - Transitória de ativos",IF(U417&gt;0,U417,-V417))</f>
        <v/>
      </c>
    </row>
    <row r="418">
      <c r="H418" s="79">
        <f>F418-G418</f>
        <v/>
      </c>
      <c r="W418" s="27">
        <f>IF(T418="Outros ativos circulantes:Adibras - Transitória de ativos",IF(U418&gt;0,U418,-V418))</f>
        <v/>
      </c>
    </row>
    <row r="419">
      <c r="H419" s="79">
        <f>F419-G419</f>
        <v/>
      </c>
      <c r="W419" s="27">
        <f>IF(T419="Outros ativos circulantes:Adibras - Transitória de ativos",IF(U419&gt;0,U419,-V419))</f>
        <v/>
      </c>
    </row>
    <row r="420">
      <c r="H420" s="79">
        <f>F420-G420</f>
        <v/>
      </c>
      <c r="W420" s="27">
        <f>IF(T420="Outros ativos circulantes:Adibras - Transitória de ativos",IF(U420&gt;0,U420,-V420))</f>
        <v/>
      </c>
    </row>
    <row r="421">
      <c r="H421" s="79">
        <f>F421-G421</f>
        <v/>
      </c>
      <c r="W421" s="27">
        <f>IF(T421="Outros ativos circulantes:Adibras - Transitória de ativos",IF(U421&gt;0,U421,-V421))</f>
        <v/>
      </c>
    </row>
    <row r="422">
      <c r="H422" s="79">
        <f>F422-G422</f>
        <v/>
      </c>
      <c r="W422" s="27">
        <f>IF(T422="Outros ativos circulantes:Adibras - Transitória de ativos",IF(U422&gt;0,U422,-V422))</f>
        <v/>
      </c>
    </row>
    <row r="423">
      <c r="H423" s="79">
        <f>F423-G423</f>
        <v/>
      </c>
      <c r="W423" s="27">
        <f>IF(T423="Outros ativos circulantes:Adibras - Transitória de ativos",IF(U423&gt;0,U423,-V423))</f>
        <v/>
      </c>
    </row>
    <row r="424">
      <c r="H424" s="79">
        <f>F424-G424</f>
        <v/>
      </c>
      <c r="W424" s="27">
        <f>IF(T424="Outros ativos circulantes:Adibras - Transitória de ativos",IF(U424&gt;0,U424,-V424))</f>
        <v/>
      </c>
    </row>
    <row r="425">
      <c r="H425" s="79">
        <f>F425-G425</f>
        <v/>
      </c>
      <c r="W425" s="27">
        <f>IF(T425="Outros ativos circulantes:Adibras - Transitória de ativos",IF(U425&gt;0,U425,-V425))</f>
        <v/>
      </c>
    </row>
    <row r="426">
      <c r="H426" s="79">
        <f>F426-G426</f>
        <v/>
      </c>
      <c r="W426" s="27">
        <f>IF(T426="Outros ativos circulantes:Adibras - Transitória de ativos",IF(U426&gt;0,U426,-V426))</f>
        <v/>
      </c>
    </row>
    <row r="427">
      <c r="H427" s="79">
        <f>F427-G427</f>
        <v/>
      </c>
      <c r="W427" s="27">
        <f>IF(T427="Outros ativos circulantes:Adibras - Transitória de ativos",IF(U427&gt;0,U427,-V427))</f>
        <v/>
      </c>
    </row>
    <row r="428">
      <c r="H428" s="79">
        <f>F428-G428</f>
        <v/>
      </c>
      <c r="W428" s="27">
        <f>IF(T428="Outros ativos circulantes:Adibras - Transitória de ativos",IF(U428&gt;0,U428,-V428))</f>
        <v/>
      </c>
    </row>
    <row r="429">
      <c r="H429" s="79">
        <f>F429-G429</f>
        <v/>
      </c>
      <c r="W429" s="27">
        <f>IF(T429="Outros ativos circulantes:Adibras - Transitória de ativos",IF(U429&gt;0,U429,-V429))</f>
        <v/>
      </c>
    </row>
    <row r="430">
      <c r="H430" s="79">
        <f>F430-G430</f>
        <v/>
      </c>
      <c r="W430" s="27">
        <f>IF(T430="Outros ativos circulantes:Adibras - Transitória de ativos",IF(U430&gt;0,U430,-V430))</f>
        <v/>
      </c>
    </row>
    <row r="431">
      <c r="H431" s="79">
        <f>F431-G431</f>
        <v/>
      </c>
      <c r="W431" s="27">
        <f>IF(T431="Outros ativos circulantes:Adibras - Transitória de ativos",IF(U431&gt;0,U431,-V431))</f>
        <v/>
      </c>
    </row>
    <row r="432">
      <c r="H432" s="79">
        <f>F432-G432</f>
        <v/>
      </c>
      <c r="W432" s="27">
        <f>IF(T432="Outros ativos circulantes:Adibras - Transitória de ativos",IF(U432&gt;0,U432,-V432))</f>
        <v/>
      </c>
    </row>
    <row r="433">
      <c r="H433" s="79">
        <f>F433-G433</f>
        <v/>
      </c>
      <c r="W433" s="27">
        <f>IF(T433="Outros ativos circulantes:Adibras - Transitória de ativos",IF(U433&gt;0,U433,-V433))</f>
        <v/>
      </c>
    </row>
    <row r="434">
      <c r="H434" s="79">
        <f>F434-G434</f>
        <v/>
      </c>
      <c r="W434" s="27">
        <f>IF(T434="Outros ativos circulantes:Adibras - Transitória de ativos",IF(U434&gt;0,U434,-V434))</f>
        <v/>
      </c>
    </row>
    <row r="435">
      <c r="H435" s="79">
        <f>F435-G435</f>
        <v/>
      </c>
      <c r="W435" s="27">
        <f>IF(T435="Outros ativos circulantes:Adibras - Transitória de ativos",IF(U435&gt;0,U435,-V435))</f>
        <v/>
      </c>
    </row>
    <row r="436">
      <c r="H436" s="79">
        <f>F436-G436</f>
        <v/>
      </c>
      <c r="W436" s="27">
        <f>IF(T436="Outros ativos circulantes:Adibras - Transitória de ativos",IF(U436&gt;0,U436,-V436))</f>
        <v/>
      </c>
    </row>
    <row r="437">
      <c r="H437" s="79">
        <f>F437-G437</f>
        <v/>
      </c>
      <c r="W437" s="27">
        <f>IF(T437="Outros ativos circulantes:Adibras - Transitória de ativos",IF(U437&gt;0,U437,-V437))</f>
        <v/>
      </c>
    </row>
    <row r="438">
      <c r="H438" s="79">
        <f>F438-G438</f>
        <v/>
      </c>
      <c r="W438" s="27">
        <f>IF(T438="Outros ativos circulantes:Adibras - Transitória de ativos",IF(U438&gt;0,U438,-V438))</f>
        <v/>
      </c>
    </row>
    <row r="439">
      <c r="H439" s="79">
        <f>F439-G439</f>
        <v/>
      </c>
      <c r="W439" s="27">
        <f>IF(T439="Outros ativos circulantes:Adibras - Transitória de ativos",IF(U439&gt;0,U439,-V439))</f>
        <v/>
      </c>
    </row>
    <row r="440">
      <c r="H440" s="79">
        <f>F440-G440</f>
        <v/>
      </c>
      <c r="W440" s="27">
        <f>IF(T440="Outros ativos circulantes:Adibras - Transitória de ativos",IF(U440&gt;0,U440,-V440))</f>
        <v/>
      </c>
    </row>
    <row r="441">
      <c r="H441" s="79">
        <f>F441-G441</f>
        <v/>
      </c>
      <c r="W441" s="27">
        <f>IF(T441="Outros ativos circulantes:Adibras - Transitória de ativos",IF(U441&gt;0,U441,-V441))</f>
        <v/>
      </c>
    </row>
    <row r="442">
      <c r="H442" s="79">
        <f>F442-G442</f>
        <v/>
      </c>
      <c r="W442" s="27">
        <f>IF(T442="Outros ativos circulantes:Adibras - Transitória de ativos",IF(U442&gt;0,U442,-V442))</f>
        <v/>
      </c>
    </row>
    <row r="443">
      <c r="H443" s="79">
        <f>F443-G443</f>
        <v/>
      </c>
      <c r="W443" s="27">
        <f>IF(T443="Outros ativos circulantes:Adibras - Transitória de ativos",IF(U443&gt;0,U443,-V443))</f>
        <v/>
      </c>
    </row>
    <row r="444">
      <c r="H444" s="79">
        <f>F444-G444</f>
        <v/>
      </c>
      <c r="W444" s="27">
        <f>IF(T444="Outros ativos circulantes:Adibras - Transitória de ativos",IF(U444&gt;0,U444,-V444))</f>
        <v/>
      </c>
    </row>
    <row r="445">
      <c r="H445" s="79">
        <f>F445-G445</f>
        <v/>
      </c>
      <c r="W445" s="27">
        <f>IF(T445="Outros ativos circulantes:Adibras - Transitória de ativos",IF(U445&gt;0,U445,-V445))</f>
        <v/>
      </c>
    </row>
    <row r="446">
      <c r="H446" s="79">
        <f>F446-G446</f>
        <v/>
      </c>
      <c r="W446" s="27">
        <f>IF(T446="Outros ativos circulantes:Adibras - Transitória de ativos",IF(U446&gt;0,U446,-V446))</f>
        <v/>
      </c>
    </row>
    <row r="447">
      <c r="H447" s="79">
        <f>F447-G447</f>
        <v/>
      </c>
      <c r="W447" s="27">
        <f>IF(T447="Outros ativos circulantes:Adibras - Transitória de ativos",IF(U447&gt;0,U447,-V447))</f>
        <v/>
      </c>
    </row>
    <row r="448">
      <c r="H448" s="79">
        <f>F448-G448</f>
        <v/>
      </c>
      <c r="W448" s="27">
        <f>IF(T448="Outros ativos circulantes:Adibras - Transitória de ativos",IF(U448&gt;0,U448,-V448))</f>
        <v/>
      </c>
    </row>
    <row r="449">
      <c r="H449" s="79">
        <f>F449-G449</f>
        <v/>
      </c>
      <c r="W449" s="27">
        <f>IF(T449="Outros ativos circulantes:Adibras - Transitória de ativos",IF(U449&gt;0,U449,-V449))</f>
        <v/>
      </c>
    </row>
    <row r="450">
      <c r="H450" s="79">
        <f>F450-G450</f>
        <v/>
      </c>
      <c r="W450" s="27">
        <f>IF(T450="Outros ativos circulantes:Adibras - Transitória de ativos",IF(U450&gt;0,U450,-V450))</f>
        <v/>
      </c>
    </row>
    <row r="451">
      <c r="H451" s="79">
        <f>F451-G451</f>
        <v/>
      </c>
      <c r="W451" s="27">
        <f>IF(T451="Outros ativos circulantes:Adibras - Transitória de ativos",IF(U451&gt;0,U451,-V451))</f>
        <v/>
      </c>
    </row>
    <row r="452">
      <c r="H452" s="79">
        <f>F452-G452</f>
        <v/>
      </c>
      <c r="W452" s="27">
        <f>IF(T452="Outros ativos circulantes:Adibras - Transitória de ativos",IF(U452&gt;0,U452,-V452))</f>
        <v/>
      </c>
    </row>
    <row r="453">
      <c r="H453" s="79">
        <f>F453-G453</f>
        <v/>
      </c>
      <c r="W453" s="27">
        <f>IF(T453="Outros ativos circulantes:Adibras - Transitória de ativos",IF(U453&gt;0,U453,-V453))</f>
        <v/>
      </c>
    </row>
    <row r="454">
      <c r="H454" s="79">
        <f>F454-G454</f>
        <v/>
      </c>
      <c r="W454" s="27">
        <f>IF(T454="Outros ativos circulantes:Adibras - Transitória de ativos",IF(U454&gt;0,U454,-V454))</f>
        <v/>
      </c>
    </row>
    <row r="455">
      <c r="H455" s="79">
        <f>F455-G455</f>
        <v/>
      </c>
      <c r="W455" s="27">
        <f>IF(T455="Outros ativos circulantes:Adibras - Transitória de ativos",IF(U455&gt;0,U455,-V455))</f>
        <v/>
      </c>
    </row>
    <row r="456">
      <c r="H456" s="79">
        <f>F456-G456</f>
        <v/>
      </c>
      <c r="W456" s="27">
        <f>IF(T456="Outros ativos circulantes:Adibras - Transitória de ativos",IF(U456&gt;0,U456,-V456))</f>
        <v/>
      </c>
    </row>
    <row r="457">
      <c r="H457" s="79">
        <f>F457-G457</f>
        <v/>
      </c>
      <c r="W457" s="27">
        <f>IF(T457="Outros ativos circulantes:Adibras - Transitória de ativos",IF(U457&gt;0,U457,-V457))</f>
        <v/>
      </c>
    </row>
    <row r="458">
      <c r="H458" s="79">
        <f>F458-G458</f>
        <v/>
      </c>
      <c r="W458" s="27">
        <f>IF(T458="Outros ativos circulantes:Adibras - Transitória de ativos",IF(U458&gt;0,U458,-V458))</f>
        <v/>
      </c>
    </row>
    <row r="459">
      <c r="H459" s="79">
        <f>F459-G459</f>
        <v/>
      </c>
      <c r="W459" s="27">
        <f>IF(T459="Outros ativos circulantes:Adibras - Transitória de ativos",IF(U459&gt;0,U459,-V459))</f>
        <v/>
      </c>
    </row>
    <row r="460">
      <c r="H460" s="79">
        <f>F460-G460</f>
        <v/>
      </c>
      <c r="W460" s="27">
        <f>IF(T460="Outros ativos circulantes:Adibras - Transitória de ativos",IF(U460&gt;0,U460,-V460))</f>
        <v/>
      </c>
    </row>
    <row r="461">
      <c r="H461" s="79">
        <f>F461-G461</f>
        <v/>
      </c>
      <c r="W461" s="27">
        <f>IF(T461="Outros ativos circulantes:Adibras - Transitória de ativos",IF(U461&gt;0,U461,-V461))</f>
        <v/>
      </c>
    </row>
    <row r="462">
      <c r="H462" s="79">
        <f>F462-G462</f>
        <v/>
      </c>
      <c r="W462" s="27">
        <f>IF(T462="Outros ativos circulantes:Adibras - Transitória de ativos",IF(U462&gt;0,U462,-V462))</f>
        <v/>
      </c>
    </row>
    <row r="463">
      <c r="H463" s="79">
        <f>F463-G463</f>
        <v/>
      </c>
      <c r="W463" s="27">
        <f>IF(T463="Outros ativos circulantes:Adibras - Transitória de ativos",IF(U463&gt;0,U463,-V463))</f>
        <v/>
      </c>
    </row>
    <row r="464">
      <c r="H464" s="79">
        <f>F464-G464</f>
        <v/>
      </c>
      <c r="W464" s="27">
        <f>IF(T464="Outros ativos circulantes:Adibras - Transitória de ativos",IF(U464&gt;0,U464,-V464))</f>
        <v/>
      </c>
    </row>
    <row r="465">
      <c r="H465" s="79">
        <f>F465-G465</f>
        <v/>
      </c>
      <c r="W465" s="27">
        <f>IF(T465="Outros ativos circulantes:Adibras - Transitória de ativos",IF(U465&gt;0,U465,-V465))</f>
        <v/>
      </c>
    </row>
    <row r="466">
      <c r="H466" s="79">
        <f>F466-G466</f>
        <v/>
      </c>
      <c r="W466" s="27">
        <f>IF(T466="Outros ativos circulantes:Adibras - Transitória de ativos",IF(U466&gt;0,U466,-V466))</f>
        <v/>
      </c>
    </row>
    <row r="467">
      <c r="H467" s="79">
        <f>F467-G467</f>
        <v/>
      </c>
      <c r="W467" s="27">
        <f>IF(T467="Outros ativos circulantes:Adibras - Transitória de ativos",IF(U467&gt;0,U467,-V467))</f>
        <v/>
      </c>
    </row>
    <row r="468">
      <c r="H468" s="79">
        <f>F468-G468</f>
        <v/>
      </c>
      <c r="W468" s="27">
        <f>IF(T468="Outros ativos circulantes:Adibras - Transitória de ativos",IF(U468&gt;0,U468,-V468))</f>
        <v/>
      </c>
    </row>
    <row r="469">
      <c r="H469" s="79">
        <f>F469-G469</f>
        <v/>
      </c>
      <c r="W469" s="27">
        <f>IF(T469="Outros ativos circulantes:Adibras - Transitória de ativos",IF(U469&gt;0,U469,-V469))</f>
        <v/>
      </c>
    </row>
    <row r="470">
      <c r="H470" s="79">
        <f>F470-G470</f>
        <v/>
      </c>
      <c r="W470" s="27">
        <f>IF(T470="Outros ativos circulantes:Adibras - Transitória de ativos",IF(U470&gt;0,U470,-V470))</f>
        <v/>
      </c>
    </row>
    <row r="471">
      <c r="H471" s="79">
        <f>F471-G471</f>
        <v/>
      </c>
      <c r="W471" s="27">
        <f>IF(T471="Outros ativos circulantes:Adibras - Transitória de ativos",IF(U471&gt;0,U471,-V471))</f>
        <v/>
      </c>
    </row>
    <row r="472">
      <c r="H472" s="79">
        <f>F472-G472</f>
        <v/>
      </c>
      <c r="W472" s="27">
        <f>IF(T472="Outros ativos circulantes:Adibras - Transitória de ativos",IF(U472&gt;0,U472,-V472))</f>
        <v/>
      </c>
    </row>
    <row r="473">
      <c r="H473" s="79">
        <f>F473-G473</f>
        <v/>
      </c>
      <c r="W473" s="27">
        <f>IF(T473="Outros ativos circulantes:Adibras - Transitória de ativos",IF(U473&gt;0,U473,-V473))</f>
        <v/>
      </c>
    </row>
    <row r="474">
      <c r="H474" s="79">
        <f>F474-G474</f>
        <v/>
      </c>
      <c r="W474" s="27">
        <f>IF(T474="Outros ativos circulantes:Adibras - Transitória de ativos",IF(U474&gt;0,U474,-V474))</f>
        <v/>
      </c>
    </row>
    <row r="475">
      <c r="H475" s="79">
        <f>F475-G475</f>
        <v/>
      </c>
      <c r="W475" s="27">
        <f>IF(T475="Outros ativos circulantes:Adibras - Transitória de ativos",IF(U475&gt;0,U475,-V475))</f>
        <v/>
      </c>
    </row>
    <row r="476">
      <c r="H476" s="79">
        <f>F476-G476</f>
        <v/>
      </c>
      <c r="W476" s="27">
        <f>IF(T476="Outros ativos circulantes:Adibras - Transitória de ativos",IF(U476&gt;0,U476,-V476))</f>
        <v/>
      </c>
    </row>
    <row r="477">
      <c r="H477" s="79">
        <f>F477-G477</f>
        <v/>
      </c>
      <c r="W477" s="27">
        <f>IF(T477="Outros ativos circulantes:Adibras - Transitória de ativos",IF(U477&gt;0,U477,-V477))</f>
        <v/>
      </c>
    </row>
    <row r="478">
      <c r="H478" s="79">
        <f>F478-G478</f>
        <v/>
      </c>
      <c r="W478" s="27">
        <f>IF(T478="Outros ativos circulantes:Adibras - Transitória de ativos",IF(U478&gt;0,U478,-V478))</f>
        <v/>
      </c>
    </row>
    <row r="479">
      <c r="H479" s="79">
        <f>F479-G479</f>
        <v/>
      </c>
      <c r="W479" s="27">
        <f>IF(T479="Outros ativos circulantes:Adibras - Transitória de ativos",IF(U479&gt;0,U479,-V479))</f>
        <v/>
      </c>
    </row>
    <row r="480">
      <c r="H480" s="79">
        <f>F480-G480</f>
        <v/>
      </c>
      <c r="W480" s="27">
        <f>IF(T480="Outros ativos circulantes:Adibras - Transitória de ativos",IF(U480&gt;0,U480,-V480))</f>
        <v/>
      </c>
    </row>
    <row r="481">
      <c r="H481" s="79">
        <f>F481-G481</f>
        <v/>
      </c>
      <c r="W481" s="27">
        <f>IF(T481="Outros ativos circulantes:Adibras - Transitória de ativos",IF(U481&gt;0,U481,-V481))</f>
        <v/>
      </c>
    </row>
    <row r="482">
      <c r="H482" s="79">
        <f>F482-G482</f>
        <v/>
      </c>
      <c r="W482" s="27">
        <f>IF(T482="Outros ativos circulantes:Adibras - Transitória de ativos",IF(U482&gt;0,U482,-V482))</f>
        <v/>
      </c>
    </row>
    <row r="483">
      <c r="H483" s="79">
        <f>F483-G483</f>
        <v/>
      </c>
      <c r="W483" s="27">
        <f>IF(T483="Outros ativos circulantes:Adibras - Transitória de ativos",IF(U483&gt;0,U483,-V483))</f>
        <v/>
      </c>
    </row>
    <row r="484">
      <c r="H484" s="79">
        <f>F484-G484</f>
        <v/>
      </c>
      <c r="W484" s="27">
        <f>IF(T484="Outros ativos circulantes:Adibras - Transitória de ativos",IF(U484&gt;0,U484,-V484))</f>
        <v/>
      </c>
    </row>
    <row r="485">
      <c r="H485" s="79">
        <f>F485-G485</f>
        <v/>
      </c>
      <c r="W485" s="27">
        <f>IF(T485="Outros ativos circulantes:Adibras - Transitória de ativos",IF(U485&gt;0,U485,-V485))</f>
        <v/>
      </c>
    </row>
    <row r="486">
      <c r="H486" s="79">
        <f>F486-G486</f>
        <v/>
      </c>
      <c r="W486" s="27">
        <f>IF(T486="Outros ativos circulantes:Adibras - Transitória de ativos",IF(U486&gt;0,U486,-V486))</f>
        <v/>
      </c>
    </row>
    <row r="487">
      <c r="H487" s="79">
        <f>F487-G487</f>
        <v/>
      </c>
      <c r="W487" s="27">
        <f>IF(T487="Outros ativos circulantes:Adibras - Transitória de ativos",IF(U487&gt;0,U487,-V487))</f>
        <v/>
      </c>
    </row>
    <row r="488">
      <c r="H488" s="79">
        <f>F488-G488</f>
        <v/>
      </c>
      <c r="W488" s="27">
        <f>IF(T488="Outros ativos circulantes:Adibras - Transitória de ativos",IF(U488&gt;0,U488,-V488))</f>
        <v/>
      </c>
    </row>
    <row r="489">
      <c r="H489" s="79">
        <f>F489-G489</f>
        <v/>
      </c>
      <c r="W489" s="27">
        <f>IF(T489="Outros ativos circulantes:Adibras - Transitória de ativos",IF(U489&gt;0,U489,-V489))</f>
        <v/>
      </c>
    </row>
    <row r="490">
      <c r="H490" s="79">
        <f>F490-G490</f>
        <v/>
      </c>
      <c r="W490" s="27">
        <f>IF(T490="Outros ativos circulantes:Adibras - Transitória de ativos",IF(U490&gt;0,U490,-V490))</f>
        <v/>
      </c>
    </row>
    <row r="491">
      <c r="H491" s="79">
        <f>F491-G491</f>
        <v/>
      </c>
      <c r="W491" s="27">
        <f>IF(T491="Outros ativos circulantes:Adibras - Transitória de ativos",IF(U491&gt;0,U491,-V491))</f>
        <v/>
      </c>
    </row>
    <row r="492">
      <c r="H492" s="79">
        <f>F492-G492</f>
        <v/>
      </c>
      <c r="W492" s="27">
        <f>IF(T492="Outros ativos circulantes:Adibras - Transitória de ativos",IF(U492&gt;0,U492,-V492))</f>
        <v/>
      </c>
    </row>
    <row r="493">
      <c r="H493" s="79">
        <f>F493-G493</f>
        <v/>
      </c>
      <c r="W493" s="27">
        <f>IF(T493="Outros ativos circulantes:Adibras - Transitória de ativos",IF(U493&gt;0,U493,-V493))</f>
        <v/>
      </c>
    </row>
    <row r="494">
      <c r="H494" s="79">
        <f>F494-G494</f>
        <v/>
      </c>
      <c r="W494" s="27">
        <f>IF(T494="Outros ativos circulantes:Adibras - Transitória de ativos",IF(U494&gt;0,U494,-V494))</f>
        <v/>
      </c>
    </row>
    <row r="495">
      <c r="H495" s="79">
        <f>F495-G495</f>
        <v/>
      </c>
      <c r="W495" s="27">
        <f>IF(T495="Outros ativos circulantes:Adibras - Transitória de ativos",IF(U495&gt;0,U495,-V495))</f>
        <v/>
      </c>
    </row>
    <row r="496">
      <c r="H496" s="79">
        <f>F496-G496</f>
        <v/>
      </c>
      <c r="W496" s="27">
        <f>IF(T496="Outros ativos circulantes:Adibras - Transitória de ativos",IF(U496&gt;0,U496,-V496))</f>
        <v/>
      </c>
    </row>
    <row r="497">
      <c r="H497" s="79">
        <f>F497-G497</f>
        <v/>
      </c>
      <c r="W497" s="27">
        <f>IF(T497="Outros ativos circulantes:Adibras - Transitória de ativos",IF(U497&gt;0,U497,-V497))</f>
        <v/>
      </c>
    </row>
    <row r="498">
      <c r="H498" s="79">
        <f>F498-G498</f>
        <v/>
      </c>
      <c r="W498" s="27">
        <f>IF(T498="Outros ativos circulantes:Adibras - Transitória de ativos",IF(U498&gt;0,U498,-V498))</f>
        <v/>
      </c>
    </row>
    <row r="499">
      <c r="H499" s="79">
        <f>F499-G499</f>
        <v/>
      </c>
      <c r="W499" s="27">
        <f>IF(T499="Outros ativos circulantes:Adibras - Transitória de ativos",IF(U499&gt;0,U499,-V499))</f>
        <v/>
      </c>
    </row>
    <row r="500">
      <c r="W500" s="27">
        <f>IF(T500="Outros ativos circulantes:Adibras - Transitória de ativos",IF(U500&gt;0,U500,-V500))</f>
        <v/>
      </c>
    </row>
  </sheetData>
  <autoFilter ref="A2:AA200"/>
  <mergeCells count="3">
    <mergeCell ref="A1:I1"/>
    <mergeCell ref="J1:Q1"/>
    <mergeCell ref="R1:AA1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K6" sqref="K6"/>
    </sheetView>
  </sheetViews>
  <sheetFormatPr baseColWidth="8" defaultRowHeight="14.4"/>
  <sheetData>
    <row r="1">
      <c r="A1" s="8" t="inlineStr">
        <is>
          <t>Receitas:</t>
        </is>
      </c>
    </row>
    <row r="2">
      <c r="A2" s="0" t="inlineStr">
        <is>
          <t>&gt; Aluguel (considerar descontos como dedução das receitas)</t>
        </is>
      </c>
    </row>
    <row r="3">
      <c r="A3" s="8" t="inlineStr">
        <is>
          <t>Instruções para a Aba recibos de Venda</t>
        </is>
      </c>
    </row>
    <row r="4">
      <c r="A4" s="0" t="inlineStr">
        <is>
          <t>&gt; Coluna Conta colocar Caixa e equivalentes-caixa:Adibras</t>
        </is>
      </c>
    </row>
    <row r="5">
      <c r="A5" s="0" t="inlineStr">
        <is>
          <t>&gt; Coluna Produto/Serviço colocar Aluguel</t>
        </is>
      </c>
    </row>
    <row r="6">
      <c r="A6" s="0" t="inlineStr">
        <is>
          <t>&gt; Coluna Descrição colocar mescla das colunas do CSV de Descrição, complemento e referência</t>
        </is>
      </c>
    </row>
    <row r="7">
      <c r="A7" s="0" t="inlineStr">
        <is>
          <t>&gt; Coluna Valor coloca valor referente às receitas (exemplo, Aluguel ou Multa sobre Aluguel)</t>
        </is>
      </c>
    </row>
    <row r="8">
      <c r="A8" s="0" t="inlineStr">
        <is>
          <t>&gt; Coluna Desconto coloca valor referente a descontos sobre receitas de aluguel</t>
        </is>
      </c>
    </row>
    <row r="10">
      <c r="A10" s="8" t="inlineStr">
        <is>
          <t>Despesas:</t>
        </is>
      </c>
    </row>
    <row r="11">
      <c r="A11" s="0" t="inlineStr">
        <is>
          <t>&gt;Taxas imóveis vagos: IPTU, água e esgoto, taxa de expediente, condomínio, anuncio zap e aforamento</t>
        </is>
      </c>
    </row>
    <row r="12">
      <c r="A12" s="0" t="inlineStr">
        <is>
          <t>&gt; Imóveis ocupados: Taxa de expediente, passagem para vistoria e outros custos não cobrados do locatário, comissão adm (por imóvel - local).</t>
        </is>
      </c>
    </row>
    <row r="13">
      <c r="A13" s="8" t="inlineStr">
        <is>
          <t>Instruções para a Aba Despesas</t>
        </is>
      </c>
    </row>
    <row r="14">
      <c r="A14" s="0" t="inlineStr">
        <is>
          <t>&gt; Coluna Beneficiário colocar Adibras</t>
        </is>
      </c>
    </row>
    <row r="15">
      <c r="A15" s="0" t="inlineStr">
        <is>
          <t>&gt; Coluna Categoria colocar:</t>
        </is>
      </c>
    </row>
    <row r="16">
      <c r="A16" s="0" t="inlineStr">
        <is>
          <t>Se Centro de custo for Comissão, Tx. Expediente  ou Passagem então é Custos com imóveis próprios:Administração dos imóveis</t>
        </is>
      </c>
    </row>
    <row r="17">
      <c r="A17" s="0" t="inlineStr">
        <is>
          <t>Se Centro de custo for Água e Esgoto, Condomínio, Luz (consumo), Manutenção, Luz de Serviço, Gás ou Seguro então é Custos com imóveis próprios:Manutenção e Condomínio</t>
        </is>
      </c>
    </row>
    <row r="18">
      <c r="A18" s="0" t="inlineStr">
        <is>
          <t>Se Centro de custo for Anúncios então é Custos com imóveis próprios:Publicidade</t>
        </is>
      </c>
    </row>
    <row r="19">
      <c r="A19" s="0" t="inlineStr">
        <is>
          <t>Se Centro de custo for IPTU, Taxa Incêndio ou Aforamento então é Custos com imóveis próprios:Taxas e Impostos sobre imóveis</t>
        </is>
      </c>
    </row>
    <row r="20">
      <c r="A20" s="0" t="inlineStr">
        <is>
          <t>Obs: a descrição determina o Centro de custo e a categoria da Despesa; será descontinuado Centro de custo Diversos para facilitar a categorização e será incluído novo centro de custo Administração</t>
        </is>
      </c>
    </row>
    <row r="21">
      <c r="A21" s="0" t="inlineStr">
        <is>
          <t>Parametrizar configuração DE:PARA de descrições, centros de custo e categorias</t>
        </is>
      </c>
    </row>
    <row r="23">
      <c r="A23" s="8" t="inlineStr">
        <is>
          <t>Lançamentos contábeis de recebimentos:</t>
        </is>
      </c>
    </row>
    <row r="24">
      <c r="A24" s="0" t="inlineStr">
        <is>
          <t>&gt; Recebimentos de Imóveis ocupados: IPTU, água e esgoto, condomínio, aforamento, seguro e outras taxas cobradas do locatário</t>
        </is>
      </c>
    </row>
    <row r="25">
      <c r="A25" s="8" t="inlineStr">
        <is>
          <t>Instruções para a Aba Lançamentos Contábeis</t>
        </is>
      </c>
    </row>
    <row r="26">
      <c r="A26" s="0" t="inlineStr">
        <is>
          <t>&gt; Coluna Conta colocar Outros Passivos:Adibras - Transitória de passivos</t>
        </is>
      </c>
    </row>
    <row r="27">
      <c r="A27" s="0" t="inlineStr">
        <is>
          <t>&gt; Se Recebimento colocar valor na coluna Crédito</t>
        </is>
      </c>
    </row>
    <row r="28">
      <c r="A28" s="0" t="inlineStr">
        <is>
          <t>&gt; Relacionar a Coluna Descrição (CSV) ao Centro de custo</t>
        </is>
      </c>
    </row>
    <row r="30">
      <c r="A30" s="8" t="inlineStr">
        <is>
          <t>Lançamentos contábeis de pagamentos:</t>
        </is>
      </c>
    </row>
    <row r="31">
      <c r="A31" s="0" t="inlineStr">
        <is>
          <t>&gt; Pagamentos de Imóveis ocupados: IPTU, água e esgoto, condomínio, aforamento, seguro e outras taxas cobradas do locatário</t>
        </is>
      </c>
    </row>
    <row r="32">
      <c r="A32" s="8" t="inlineStr">
        <is>
          <t>Instruções para a Aba Lançamentos Contábeis</t>
        </is>
      </c>
    </row>
    <row r="33">
      <c r="A33" s="0" t="inlineStr">
        <is>
          <t>&gt; Coluna Conta colocar Outros Passivos:Adibras - Transitória de passivos</t>
        </is>
      </c>
    </row>
    <row r="34">
      <c r="A34" s="0" t="inlineStr">
        <is>
          <t>&gt; Se Pagamento colocar valor na coluna Débito</t>
        </is>
      </c>
    </row>
    <row r="35">
      <c r="A35" s="0" t="inlineStr">
        <is>
          <t>&gt; Relacionar a Coluna Descrição (CSV) ao Centro de custo</t>
        </is>
      </c>
    </row>
    <row r="37">
      <c r="A37" s="0" t="inlineStr">
        <is>
          <t>Criar uma parametrização editável para lista de Locatários e Imóveis</t>
        </is>
      </c>
    </row>
    <row r="38">
      <c r="A38" s="0" t="inlineStr">
        <is>
          <t>Nessa lista deve ser definido o texto que consta no PDF da Adibras e o texto que deve constar na planilha Matriz</t>
        </is>
      </c>
    </row>
    <row r="40">
      <c r="A40" s="8" t="inlineStr">
        <is>
          <t>Configuração atual (deve ser editável sem limite para quantidade de imóveis) na aba Parametrização</t>
        </is>
      </c>
    </row>
  </sheetData>
  <pageMargins left="0.511811024" right="0.511811024" top="0.787401575" bottom="0.787401575" header="0.31496062" footer="0.31496062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topLeftCell="D1" workbookViewId="0">
      <selection activeCell="G38" sqref="G38"/>
    </sheetView>
  </sheetViews>
  <sheetFormatPr baseColWidth="8" defaultColWidth="11.44140625" defaultRowHeight="14.4"/>
  <cols>
    <col width="43.44140625" bestFit="1" customWidth="1" style="30" min="1" max="1"/>
    <col width="68.109375" bestFit="1" customWidth="1" style="30" min="2" max="2"/>
    <col width="46.88671875" bestFit="1" customWidth="1" style="30" min="3" max="3"/>
    <col width="48.44140625" bestFit="1" customWidth="1" style="30" min="4" max="4"/>
    <col width="24.109375" bestFit="1" customWidth="1" style="30" min="5" max="5"/>
    <col width="43.33203125" bestFit="1" customWidth="1" style="30" min="7" max="7"/>
    <col width="19.109375" bestFit="1" customWidth="1" style="30" min="8" max="8"/>
    <col width="54.6640625" bestFit="1" customWidth="1" style="30" min="9" max="9"/>
  </cols>
  <sheetData>
    <row r="1" ht="18.6" customHeight="1" s="30" thickBot="1">
      <c r="A1" s="91" t="inlineStr">
        <is>
          <t>Parametrização Locais &gt; Locatários</t>
        </is>
      </c>
      <c r="B1" s="92" t="n"/>
      <c r="C1" s="92" t="n"/>
      <c r="D1" s="92" t="n"/>
      <c r="E1" s="93" t="n"/>
      <c r="G1" s="91" t="inlineStr">
        <is>
          <t>Parametrização Histórico &gt; Centro de Custo &gt; Categoria de Despesa</t>
        </is>
      </c>
      <c r="H1" s="92" t="n"/>
      <c r="I1" s="93" t="n"/>
    </row>
    <row r="2" ht="18" customHeight="1" s="30">
      <c r="A2" s="44" t="inlineStr">
        <is>
          <t>Locais (Do CSV)</t>
        </is>
      </c>
      <c r="B2" s="44" t="inlineStr">
        <is>
          <t>Locais (Para Quickbooks)</t>
        </is>
      </c>
      <c r="C2" s="44" t="inlineStr">
        <is>
          <t>Locatário (De PDF)</t>
        </is>
      </c>
      <c r="D2" s="94" t="inlineStr">
        <is>
          <t>Locatário (Para Quickbooks)</t>
        </is>
      </c>
      <c r="E2" s="56" t="n"/>
      <c r="G2" s="45" t="inlineStr">
        <is>
          <t>Descrição (do CSV)</t>
        </is>
      </c>
      <c r="H2" s="46" t="inlineStr">
        <is>
          <t>Centro de Custo</t>
        </is>
      </c>
      <c r="I2" s="47" t="inlineStr">
        <is>
          <t>Categoria de Despesa</t>
        </is>
      </c>
      <c r="J2" s="1" t="n"/>
    </row>
    <row r="3">
      <c r="A3" s="51" t="inlineStr">
        <is>
          <t>R VISCONDE DE INAUMA,62 2 E 3 ANDARES</t>
        </is>
      </c>
      <c r="B3" s="51" t="inlineStr">
        <is>
          <t>Rua Visconde De Inhaúma N. 62 / 2º E 3º Andares (149 2/2)</t>
        </is>
      </c>
      <c r="C3" s="51" t="inlineStr">
        <is>
          <t>VAGO</t>
        </is>
      </c>
      <c r="D3" s="57" t="n"/>
      <c r="E3" s="52" t="n"/>
      <c r="G3" s="48" t="inlineStr">
        <is>
          <t xml:space="preserve">13 salario        </t>
        </is>
      </c>
      <c r="H3" s="49" t="inlineStr">
        <is>
          <t>Condomínio</t>
        </is>
      </c>
      <c r="I3" s="50" t="inlineStr">
        <is>
          <t>Custos com imóveis próprios:Manutenção e Condomínio</t>
        </is>
      </c>
    </row>
    <row r="4">
      <c r="A4" s="51" t="inlineStr">
        <is>
          <t>PCA SAENS PENA,67 PARTE LJA</t>
        </is>
      </c>
      <c r="B4" s="51" t="inlineStr">
        <is>
          <t>Praça Saens Pena N. 67 / Parte Da Loja (144 3/3)</t>
        </is>
      </c>
      <c r="C4" s="51" t="inlineStr">
        <is>
          <t>VAGO</t>
        </is>
      </c>
      <c r="D4" s="57" t="n"/>
      <c r="E4" s="52" t="n"/>
      <c r="G4" s="40" t="inlineStr">
        <is>
          <t xml:space="preserve">13§ salario       </t>
        </is>
      </c>
      <c r="H4" s="38" t="inlineStr">
        <is>
          <t>Condomínio</t>
        </is>
      </c>
      <c r="I4" s="41" t="inlineStr">
        <is>
          <t>Custos com imóveis próprios:Manutenção e Condomínio</t>
        </is>
      </c>
    </row>
    <row r="5">
      <c r="A5" s="51" t="inlineStr">
        <is>
          <t>R DA ALFANDEGA ,25 S/602</t>
        </is>
      </c>
      <c r="B5" s="51" t="inlineStr">
        <is>
          <t>Rua Da Alfândega N. 25 / Sala 602 (124 1/1)</t>
        </is>
      </c>
      <c r="C5" s="51" t="inlineStr">
        <is>
          <t>VAGO</t>
        </is>
      </c>
      <c r="D5" s="57" t="n"/>
      <c r="E5" s="52" t="n"/>
      <c r="G5" s="40" t="inlineStr">
        <is>
          <t xml:space="preserve">Aforamento        </t>
        </is>
      </c>
      <c r="H5" s="38" t="inlineStr">
        <is>
          <t>Aforamento</t>
        </is>
      </c>
      <c r="I5" s="41" t="inlineStr">
        <is>
          <t>Custos com imóveis próprios:Taxas e Impostos sobre imóveis</t>
        </is>
      </c>
    </row>
    <row r="6">
      <c r="A6" s="51" t="inlineStr">
        <is>
          <t>R DA QUITANDA,161 LJA</t>
        </is>
      </c>
      <c r="B6" s="51" t="inlineStr">
        <is>
          <t>Rua Da Quitanda N. 161  /  Loja  A (156 1/3)</t>
        </is>
      </c>
      <c r="C6" s="51" t="inlineStr">
        <is>
          <t>VAGO</t>
        </is>
      </c>
      <c r="D6" s="57" t="n"/>
      <c r="E6" s="52" t="n"/>
      <c r="G6" s="40" t="inlineStr">
        <is>
          <t xml:space="preserve">Agua e Esgoto     </t>
        </is>
      </c>
      <c r="H6" s="38" t="inlineStr">
        <is>
          <t>Água e Esgoto</t>
        </is>
      </c>
      <c r="I6" s="41" t="inlineStr">
        <is>
          <t>Custos com imóveis próprios:Manutenção e Condomínio</t>
        </is>
      </c>
    </row>
    <row r="7">
      <c r="A7" s="51" t="inlineStr">
        <is>
          <t>R DA QUITANDA,161 PAV.02 E 03</t>
        </is>
      </c>
      <c r="B7" s="51" t="inlineStr">
        <is>
          <t>Rua Da Quitanda N. 161  /  Sala 201  E  Sala 301 (156 2.3/3)</t>
        </is>
      </c>
      <c r="C7" s="51" t="inlineStr">
        <is>
          <t>VAGO</t>
        </is>
      </c>
      <c r="D7" s="43" t="n"/>
      <c r="E7" s="52" t="n"/>
      <c r="G7" s="61" t="inlineStr">
        <is>
          <t xml:space="preserve">Dif. Agua/Esgoto  </t>
        </is>
      </c>
      <c r="H7" s="62" t="inlineStr">
        <is>
          <t>Água e Esgoto</t>
        </is>
      </c>
      <c r="I7" s="63" t="inlineStr">
        <is>
          <t>Custos com imóveis próprios:Manutenção e Condomínio</t>
        </is>
      </c>
    </row>
    <row r="8">
      <c r="A8" s="51" t="inlineStr">
        <is>
          <t>R PEDRO,I 14 SOBRADO</t>
        </is>
      </c>
      <c r="B8" s="51" t="inlineStr">
        <is>
          <t>Rua Pedro I N. 14 / Sobrado (171 2/2)</t>
        </is>
      </c>
      <c r="C8" s="51" t="inlineStr">
        <is>
          <t>VAGO</t>
        </is>
      </c>
      <c r="D8" s="43" t="n"/>
      <c r="E8" s="52" t="n"/>
      <c r="G8" s="40" t="inlineStr">
        <is>
          <t xml:space="preserve">Aluguel           </t>
        </is>
      </c>
      <c r="H8" s="38" t="inlineStr">
        <is>
          <t>-</t>
        </is>
      </c>
      <c r="I8" s="41" t="inlineStr">
        <is>
          <t>-</t>
        </is>
      </c>
    </row>
    <row r="9">
      <c r="A9" s="51" t="inlineStr">
        <is>
          <t xml:space="preserve">R DA QUITANDA,191 LOJA  A               </t>
        </is>
      </c>
      <c r="B9" s="51" t="inlineStr">
        <is>
          <t>Rua Da Quitanda N. 191 / Loja A (201 1/1)</t>
        </is>
      </c>
      <c r="C9" s="51" t="inlineStr">
        <is>
          <t>VAGO</t>
        </is>
      </c>
      <c r="D9" s="57" t="n"/>
      <c r="E9" s="52" t="n"/>
      <c r="G9" s="40" t="inlineStr">
        <is>
          <t xml:space="preserve">Anuncio           </t>
        </is>
      </c>
      <c r="H9" s="38" t="inlineStr">
        <is>
          <t>Anúncio</t>
        </is>
      </c>
      <c r="I9" s="41" t="inlineStr">
        <is>
          <t>Custos com imóveis próprios:Publicidade</t>
        </is>
      </c>
    </row>
    <row r="10">
      <c r="A10" s="51" t="inlineStr">
        <is>
          <t>TRAV DO OUVIDOR,17 LOJA  A</t>
        </is>
      </c>
      <c r="B10" s="51" t="inlineStr">
        <is>
          <t>Travessa do Ouvidor N. 17 / Loja 17-A</t>
        </is>
      </c>
      <c r="C10" s="51" t="inlineStr">
        <is>
          <t>VAGO</t>
        </is>
      </c>
      <c r="D10" s="57" t="n"/>
      <c r="E10" s="52" t="n"/>
      <c r="G10" s="40" t="inlineStr">
        <is>
          <t xml:space="preserve">Comissao          </t>
        </is>
      </c>
      <c r="H10" s="38" t="inlineStr">
        <is>
          <t>Comissão</t>
        </is>
      </c>
      <c r="I10" s="41" t="inlineStr">
        <is>
          <t>Custos com imóveis próprios:Administração dos imóveis</t>
        </is>
      </c>
    </row>
    <row r="11">
      <c r="A11" s="51" t="inlineStr">
        <is>
          <t>R GAL ROCA, 614 LJA.A</t>
        </is>
      </c>
      <c r="B11" s="51" t="inlineStr">
        <is>
          <t>Rua General Roca N. 614 / Loja A (145 1/1)</t>
        </is>
      </c>
      <c r="C11" s="51" t="inlineStr">
        <is>
          <t>GALETO FORMULA II LTDA</t>
        </is>
      </c>
      <c r="D11" s="57" t="n"/>
      <c r="E11" s="52" t="n"/>
      <c r="G11" s="40" t="inlineStr">
        <is>
          <t xml:space="preserve">Condominio        </t>
        </is>
      </c>
      <c r="H11" s="38" t="inlineStr">
        <is>
          <t>Condomínio</t>
        </is>
      </c>
      <c r="I11" s="41" t="inlineStr">
        <is>
          <t>Custos com imóveis próprios:Manutenção e Condomínio</t>
        </is>
      </c>
    </row>
    <row r="12">
      <c r="A12" s="51" t="inlineStr">
        <is>
          <t>PCA SAENS PENA,67 PARTE DO SOBRADO</t>
        </is>
      </c>
      <c r="B12" s="51" t="inlineStr">
        <is>
          <t>Praça Saens Pena N. 67 / Parte Do Sobrado (144 2/3)</t>
        </is>
      </c>
      <c r="C12" s="51" t="inlineStr">
        <is>
          <t>GALETO FORMULA II LTDA</t>
        </is>
      </c>
      <c r="D12" s="57" t="n"/>
      <c r="E12" s="52" t="n"/>
      <c r="G12" s="40" t="inlineStr">
        <is>
          <t xml:space="preserve">Consumo Luz       </t>
        </is>
      </c>
      <c r="H12" s="38" t="inlineStr">
        <is>
          <t>Luz (consumo)</t>
        </is>
      </c>
      <c r="I12" s="41" t="inlineStr">
        <is>
          <t>Custos com imóveis próprios:Manutenção e Condomínio</t>
        </is>
      </c>
    </row>
    <row r="13">
      <c r="A13" s="51" t="inlineStr">
        <is>
          <t>PCA MAUA, 15-2,3 E 4 PAVIMENTOS</t>
        </is>
      </c>
      <c r="B13" s="51" t="inlineStr">
        <is>
          <t>Praça Mauá N. 15 / 2º, 3º E 4º  Andares (134 2/2)</t>
        </is>
      </c>
      <c r="C13" s="51" t="inlineStr">
        <is>
          <t>WESLEY FALK</t>
        </is>
      </c>
      <c r="D13" s="57" t="n"/>
      <c r="E13" s="52" t="n"/>
      <c r="G13" s="40" t="inlineStr">
        <is>
          <t xml:space="preserve">Deposito em C/C   </t>
        </is>
      </c>
      <c r="H13" s="38" t="inlineStr">
        <is>
          <t>-</t>
        </is>
      </c>
      <c r="I13" s="41" t="inlineStr">
        <is>
          <t>-</t>
        </is>
      </c>
    </row>
    <row r="14">
      <c r="A14" s="51" t="inlineStr">
        <is>
          <t>PCA MAUA, 15 LOJA A</t>
        </is>
      </c>
      <c r="B14" s="51" t="inlineStr">
        <is>
          <t>Praça Mauá N. 15 / Loja 15-A (134 1/2)</t>
        </is>
      </c>
      <c r="C14" s="51" t="inlineStr">
        <is>
          <t>REST RECANTO DA PRAIA DO CENTR</t>
        </is>
      </c>
      <c r="D14" s="57" t="n"/>
      <c r="E14" s="52" t="n"/>
      <c r="G14" s="40" t="inlineStr">
        <is>
          <t xml:space="preserve">Desc. Aluguel     </t>
        </is>
      </c>
      <c r="H14" s="38" t="inlineStr">
        <is>
          <t>-</t>
        </is>
      </c>
      <c r="I14" s="41" t="inlineStr">
        <is>
          <t>-</t>
        </is>
      </c>
    </row>
    <row r="15">
      <c r="A15" s="51" t="inlineStr">
        <is>
          <t>R CAPITAO FELIX, 110 LJ.A 18 R.11 BL.P</t>
        </is>
      </c>
      <c r="B15" s="51" t="inlineStr">
        <is>
          <t>Rua Capitão Felix N. 110 / Loja 18 Rua 11 Blc P Pav 02 (138 1/1)</t>
        </is>
      </c>
      <c r="C15" s="51" t="inlineStr">
        <is>
          <t>FORNEC RIO TROPICAL BRASIL DE</t>
        </is>
      </c>
      <c r="D15" s="43" t="n"/>
      <c r="E15" s="52" t="n"/>
      <c r="G15" s="40" t="inlineStr">
        <is>
          <t xml:space="preserve">Dev. Condominio   </t>
        </is>
      </c>
      <c r="H15" s="38" t="inlineStr">
        <is>
          <t>Condomínio</t>
        </is>
      </c>
      <c r="I15" s="41" t="inlineStr">
        <is>
          <t>Custos com imóveis próprios:Manutenção e Condomínio</t>
        </is>
      </c>
    </row>
    <row r="16">
      <c r="A16" s="51" t="inlineStr">
        <is>
          <t>R PEDRO I, 14 LJA</t>
        </is>
      </c>
      <c r="B16" s="51" t="inlineStr">
        <is>
          <t>Rua Pedro I N. 14 / Loja (171 1/2)</t>
        </is>
      </c>
      <c r="C16" s="51" t="inlineStr">
        <is>
          <t>HOUSE DOM MANUEL CAFETERIA LTD</t>
        </is>
      </c>
      <c r="D16" s="57" t="n"/>
      <c r="E16" s="52" t="n"/>
      <c r="G16" s="40" t="inlineStr">
        <is>
          <t>Dev. Seguro C/Fogo</t>
        </is>
      </c>
      <c r="H16" s="38" t="inlineStr">
        <is>
          <t>Seguro</t>
        </is>
      </c>
      <c r="I16" s="41" t="inlineStr">
        <is>
          <t>Custos com imóveis próprios:Manutenção e Condomínio</t>
        </is>
      </c>
    </row>
    <row r="17">
      <c r="A17" s="51" t="inlineStr">
        <is>
          <t>R DR PAULO FROES MACHADO,95</t>
        </is>
      </c>
      <c r="B17" s="51" t="inlineStr">
        <is>
          <t>Rua Dr. Paulo Fróes Machado N. 95 - Loja - Nova Iguaçu (193 1/1)</t>
        </is>
      </c>
      <c r="C17" s="51" t="inlineStr">
        <is>
          <t>JULIANA DEGANI COUTINHO</t>
        </is>
      </c>
      <c r="D17" s="57" t="n"/>
      <c r="E17" s="52" t="n"/>
      <c r="G17" s="40" t="inlineStr">
        <is>
          <t>Dev.Imp.Pred(IPTU)</t>
        </is>
      </c>
      <c r="H17" s="51" t="inlineStr">
        <is>
          <t>IPTU</t>
        </is>
      </c>
      <c r="I17" s="52" t="inlineStr">
        <is>
          <t>Custos com imóveis próprios:Taxas e Impostos sobre imóveis</t>
        </is>
      </c>
    </row>
    <row r="18">
      <c r="A18" s="51" t="inlineStr">
        <is>
          <t>R DR PAULO FROES MACHADO, 105 LOJA</t>
        </is>
      </c>
      <c r="B18" s="51" t="inlineStr">
        <is>
          <t>Rua Dr. Paulo Fróes Machado N. 105 - Loja - Nova Iguaçu (194 1/1)</t>
        </is>
      </c>
      <c r="C18" s="51" t="inlineStr">
        <is>
          <t>RIO DERME FARMACIA DE MANIPULA</t>
        </is>
      </c>
      <c r="D18" s="57" t="n"/>
      <c r="E18" s="52" t="n"/>
      <c r="G18" s="40" t="inlineStr">
        <is>
          <t xml:space="preserve">Dif. Condominio   </t>
        </is>
      </c>
      <c r="H18" s="38" t="inlineStr">
        <is>
          <t>Condomínio</t>
        </is>
      </c>
      <c r="I18" s="41" t="inlineStr">
        <is>
          <t>Custos com imóveis próprios:Manutenção e Condomínio</t>
        </is>
      </c>
    </row>
    <row r="19">
      <c r="A19" s="51" t="inlineStr">
        <is>
          <t>R DA PASSAGEM, 83 S/405</t>
        </is>
      </c>
      <c r="B19" s="51" t="inlineStr">
        <is>
          <t>Rua Da Passagem N. 83 / Sala 405 (130 1/1)</t>
        </is>
      </c>
      <c r="C19" s="51" t="inlineStr">
        <is>
          <t>ROBERTO DE BAERE NAEGELI</t>
        </is>
      </c>
      <c r="D19" s="57" t="n"/>
      <c r="E19" s="52" t="n"/>
      <c r="G19" s="53" t="inlineStr">
        <is>
          <t xml:space="preserve">Diversos          </t>
        </is>
      </c>
      <c r="H19" s="39" t="inlineStr">
        <is>
          <t>Não tem regra</t>
        </is>
      </c>
      <c r="I19" s="54" t="inlineStr">
        <is>
          <t>Não tem regra</t>
        </is>
      </c>
    </row>
    <row r="20">
      <c r="A20" s="51" t="inlineStr">
        <is>
          <t>R DO ACRE,77 LOJA D</t>
        </is>
      </c>
      <c r="B20" s="51" t="inlineStr">
        <is>
          <t>Rua Do Acre N. 77 / Loja D (158 1/1)</t>
        </is>
      </c>
      <c r="C20" s="51" t="inlineStr">
        <is>
          <t>CENTRO DE FORM.DE CONDUT. LEBL</t>
        </is>
      </c>
      <c r="D20" s="57" t="n"/>
      <c r="E20" s="52" t="n"/>
      <c r="G20" s="40" t="inlineStr">
        <is>
          <t xml:space="preserve">Hon. Advocaticios </t>
        </is>
      </c>
      <c r="H20" s="38" t="inlineStr">
        <is>
          <t>Administração</t>
        </is>
      </c>
      <c r="I20" s="41" t="inlineStr">
        <is>
          <t>Custos com imóveis próprios:Administração dos imóveis</t>
        </is>
      </c>
    </row>
    <row r="21">
      <c r="A21" s="51" t="inlineStr">
        <is>
          <t>R SENADOR DANTAS,44 LJ.A</t>
        </is>
      </c>
      <c r="B21" s="51" t="inlineStr">
        <is>
          <t>Rua Senador Dantas N. 44 / Loja A (177 1/1)</t>
        </is>
      </c>
      <c r="C21" s="51" t="inlineStr">
        <is>
          <t>BAR E RESTAURANTE MONTE GORDO</t>
        </is>
      </c>
      <c r="D21" s="57" t="n"/>
      <c r="E21" s="52" t="n"/>
      <c r="G21" s="40" t="inlineStr">
        <is>
          <t xml:space="preserve">Imp.Predial(IPTU) </t>
        </is>
      </c>
      <c r="H21" s="38" t="inlineStr">
        <is>
          <t>IPTU</t>
        </is>
      </c>
      <c r="I21" s="41" t="inlineStr">
        <is>
          <t>Custos com imóveis próprios:Taxas e Impostos sobre imóveis</t>
        </is>
      </c>
    </row>
    <row r="22">
      <c r="A22" s="51" t="inlineStr">
        <is>
          <t>AV DAS AMÉRICAS,1155 LOJA D</t>
        </is>
      </c>
      <c r="B22" s="51" t="inlineStr">
        <is>
          <t>Av. Das Américas N. 1155  /  Loja  D (150 1/1)</t>
        </is>
      </c>
      <c r="C22" s="51" t="inlineStr">
        <is>
          <t>DOM MANUEL DA BARRA PADARIA E</t>
        </is>
      </c>
      <c r="D22" s="57" t="n"/>
      <c r="E22" s="52" t="n"/>
      <c r="G22" s="40" t="inlineStr">
        <is>
          <t xml:space="preserve">Iptu Divida Ativa </t>
        </is>
      </c>
      <c r="H22" s="38" t="inlineStr">
        <is>
          <t>Dívida Ativa</t>
        </is>
      </c>
      <c r="I22" s="41" t="inlineStr">
        <is>
          <t>Custos com imóveis próprios:Taxas e Impostos sobre imóveis</t>
        </is>
      </c>
    </row>
    <row r="23">
      <c r="A23" s="51" t="inlineStr">
        <is>
          <t>AV PRINCESA ISABEL,300 BL.A LJA B</t>
        </is>
      </c>
      <c r="B23" s="51" t="inlineStr">
        <is>
          <t>Av. Princesa Isabel N. 300 / Loja B Do Bloco A (128 1/1)</t>
        </is>
      </c>
      <c r="C23" s="51" t="inlineStr">
        <is>
          <t>CHCC RESTAURANTE LTDA</t>
        </is>
      </c>
      <c r="D23" s="57" t="n"/>
      <c r="E23" s="52" t="n"/>
      <c r="G23" s="40" t="inlineStr">
        <is>
          <t xml:space="preserve">Manutencao        </t>
        </is>
      </c>
      <c r="H23" s="38" t="inlineStr">
        <is>
          <t>Manutenção</t>
        </is>
      </c>
      <c r="I23" s="41" t="inlineStr">
        <is>
          <t>Custos com imóveis próprios:Manutenção e Condomínio</t>
        </is>
      </c>
    </row>
    <row r="24">
      <c r="A24" s="51" t="inlineStr">
        <is>
          <t>R EVARISTO DA VEIGA,24</t>
        </is>
      </c>
      <c r="B24" s="51" t="inlineStr">
        <is>
          <t>Rua Evaristo Da Veiga N. 24 / Prédio (179 1/1)</t>
        </is>
      </c>
      <c r="C24" s="51" t="inlineStr">
        <is>
          <t>DUNA GRILL BAR E RESTAURANTE L</t>
        </is>
      </c>
      <c r="D24" s="57" t="n"/>
      <c r="E24" s="52" t="n"/>
      <c r="G24" s="40" t="inlineStr">
        <is>
          <t xml:space="preserve">Multa Contratual  </t>
        </is>
      </c>
      <c r="H24" s="38" t="inlineStr">
        <is>
          <t>-</t>
        </is>
      </c>
      <c r="I24" s="41" t="inlineStr">
        <is>
          <t>-</t>
        </is>
      </c>
    </row>
    <row r="25">
      <c r="A25" s="51" t="inlineStr">
        <is>
          <t>R DO ROSARIO,112 LOJA E S/LJA-B.AIRES,57</t>
        </is>
      </c>
      <c r="B25" s="51" t="inlineStr">
        <is>
          <t>Rua Do Rosário N. 112 / Loja E Sobreloja (178 1.2/9)</t>
        </is>
      </c>
      <c r="C25" s="51" t="inlineStr">
        <is>
          <t>ARMANDO DA C.M.DOS SANTOS E/OU</t>
        </is>
      </c>
      <c r="D25" s="57" t="n"/>
      <c r="E25" s="52" t="n"/>
      <c r="G25" s="40" t="inlineStr">
        <is>
          <t xml:space="preserve">Multa Rescisoria  </t>
        </is>
      </c>
      <c r="H25" s="38" t="inlineStr">
        <is>
          <t>-</t>
        </is>
      </c>
      <c r="I25" s="41" t="inlineStr">
        <is>
          <t>-</t>
        </is>
      </c>
    </row>
    <row r="26">
      <c r="A26" s="51" t="inlineStr">
        <is>
          <t>R DO ROSARIO,112 PAV 2-SUP B AIRES,57</t>
        </is>
      </c>
      <c r="B26" s="51" t="inlineStr">
        <is>
          <t>Rua Do Rosário N. 112 / 2º Andar (178 3/9)</t>
        </is>
      </c>
      <c r="C26" s="51" t="inlineStr">
        <is>
          <t>IGNACIO FRANCISCO J P BALLIVIA</t>
        </is>
      </c>
      <c r="D26" s="57" t="n"/>
      <c r="E26" s="52" t="n"/>
      <c r="G26" s="40" t="inlineStr">
        <is>
          <t xml:space="preserve">Obras             </t>
        </is>
      </c>
      <c r="H26" s="38" t="inlineStr">
        <is>
          <t>Manutenção</t>
        </is>
      </c>
      <c r="I26" s="41" t="inlineStr">
        <is>
          <t>Custos com imóveis próprios:Manutenção e Condomínio</t>
        </is>
      </c>
    </row>
    <row r="27">
      <c r="A27" s="51" t="inlineStr">
        <is>
          <t>R DO ROSARIO,112 PAV 03-SUP BAIRES,57</t>
        </is>
      </c>
      <c r="B27" s="51" t="inlineStr">
        <is>
          <t>Rua Do Rosário N. 112 / 3º Andar (178 4/9)</t>
        </is>
      </c>
      <c r="C27" s="51" t="inlineStr">
        <is>
          <t>LUIZ EDUARDO NOGUEIRA SORAGGI</t>
        </is>
      </c>
      <c r="D27" s="57" t="n"/>
      <c r="E27" s="52" t="n"/>
      <c r="G27" s="40" t="inlineStr">
        <is>
          <t xml:space="preserve">Passagem          </t>
        </is>
      </c>
      <c r="H27" s="38" t="inlineStr">
        <is>
          <t>Passagem</t>
        </is>
      </c>
      <c r="I27" s="41" t="inlineStr">
        <is>
          <t>Custos com imóveis próprios:Administração dos imóveis</t>
        </is>
      </c>
    </row>
    <row r="28">
      <c r="A28" s="51" t="inlineStr">
        <is>
          <t>R DO ROSARIO,112 PAV.04 B AIRES,57</t>
        </is>
      </c>
      <c r="B28" s="51" t="inlineStr">
        <is>
          <t>Rua Do Rosário N. 112 / 4º Andar (178 5/9)</t>
        </is>
      </c>
      <c r="C28" s="51" t="inlineStr">
        <is>
          <t>VAGO</t>
        </is>
      </c>
      <c r="D28" s="57" t="n"/>
      <c r="E28" s="52" t="n"/>
      <c r="G28" s="40" t="inlineStr">
        <is>
          <t xml:space="preserve">Seguro C/Fogo     </t>
        </is>
      </c>
      <c r="H28" s="38" t="inlineStr">
        <is>
          <t>Seguro</t>
        </is>
      </c>
      <c r="I28" s="41" t="inlineStr">
        <is>
          <t>Custos com imóveis próprios:Manutenção e Condomínio</t>
        </is>
      </c>
    </row>
    <row r="29">
      <c r="A29" s="51" t="inlineStr">
        <is>
          <t>R DO ROSARIO,112 PAV.05-SUP B AIRES,57</t>
        </is>
      </c>
      <c r="B29" s="51" t="inlineStr">
        <is>
          <t>Rua Do Rosário N. 112 / 5º Andar (178 6/9)</t>
        </is>
      </c>
      <c r="C29" s="51" t="inlineStr">
        <is>
          <t>VAGO</t>
        </is>
      </c>
      <c r="D29" s="43" t="n"/>
      <c r="E29" s="52" t="n"/>
      <c r="G29" s="40" t="inlineStr">
        <is>
          <t xml:space="preserve">Seguro Coletivo   </t>
        </is>
      </c>
      <c r="H29" s="38" t="inlineStr">
        <is>
          <t>Seguro</t>
        </is>
      </c>
      <c r="I29" s="41" t="inlineStr">
        <is>
          <t>Custos com imóveis próprios:Manutenção e Condomínio</t>
        </is>
      </c>
    </row>
    <row r="30">
      <c r="A30" s="51" t="inlineStr">
        <is>
          <t>R DO ROSARIO,112 PAV 06-SUP B AIRES,57</t>
        </is>
      </c>
      <c r="B30" s="51" t="inlineStr">
        <is>
          <t>Rua Do Rosário N. 112 / 6º Andar (178 7/9)</t>
        </is>
      </c>
      <c r="C30" s="51" t="inlineStr">
        <is>
          <t>VAGO</t>
        </is>
      </c>
      <c r="D30" s="57" t="n"/>
      <c r="E30" s="52" t="n"/>
      <c r="G30" s="40" t="inlineStr">
        <is>
          <t xml:space="preserve">Seguro Fianca     </t>
        </is>
      </c>
      <c r="H30" s="38" t="inlineStr">
        <is>
          <t>Seguro</t>
        </is>
      </c>
      <c r="I30" s="41" t="inlineStr">
        <is>
          <t>Custos com imóveis próprios:Manutenção e Condomínio</t>
        </is>
      </c>
    </row>
    <row r="31">
      <c r="A31" s="51" t="inlineStr">
        <is>
          <t>R DO ROSARIO,112 PAV 7-SUP B AIRES,57</t>
        </is>
      </c>
      <c r="B31" s="51" t="inlineStr">
        <is>
          <t>Rua Do Rosário N. 112 / 7º Andar (178 8/9)</t>
        </is>
      </c>
      <c r="C31" s="51" t="inlineStr">
        <is>
          <t>VAGO</t>
        </is>
      </c>
      <c r="D31" s="57" t="n"/>
      <c r="E31" s="52" t="n"/>
      <c r="G31" s="42" t="inlineStr">
        <is>
          <t xml:space="preserve">Taxa Incendio     </t>
        </is>
      </c>
      <c r="H31" s="55" t="inlineStr">
        <is>
          <t>Taxa Incêndio</t>
        </is>
      </c>
      <c r="I31" s="56" t="inlineStr">
        <is>
          <t>Custos com imóveis próprios:Taxas e Impostos sobre imóveis</t>
        </is>
      </c>
    </row>
    <row r="32">
      <c r="A32" s="51" t="inlineStr">
        <is>
          <t>R DO ROSARIO,112/801 PTE2 SUP B AIRES,57</t>
        </is>
      </c>
      <c r="B32" s="51" t="inlineStr">
        <is>
          <t>Rua Do Rosário N. 112 / 8º Andar  /  Sala 801 (178 9.1/9)</t>
        </is>
      </c>
      <c r="C32" s="51" t="inlineStr">
        <is>
          <t>INTEGRADA GESTÃO DE NEGÓCIOS L</t>
        </is>
      </c>
      <c r="D32" s="57" t="n"/>
      <c r="E32" s="52" t="n"/>
      <c r="G32" s="42" t="inlineStr">
        <is>
          <t xml:space="preserve">Tx. Expediente    </t>
        </is>
      </c>
      <c r="H32" s="55" t="inlineStr">
        <is>
          <t>Tx. Expediente</t>
        </is>
      </c>
      <c r="I32" s="56" t="inlineStr">
        <is>
          <t>Custos com imóveis próprios:Administração dos imóveis</t>
        </is>
      </c>
    </row>
    <row r="33">
      <c r="A33" s="51" t="inlineStr">
        <is>
          <t>R DO ROSARIO,112/801 PTE1 SUP B AIRES,57</t>
        </is>
      </c>
      <c r="B33" s="51" t="inlineStr">
        <is>
          <t>Rua Do Rosário N. 112 / 8º Andar Corresp Ao 9º  /  Sala 801 Parte (178 9.2/9)</t>
        </is>
      </c>
      <c r="C33" s="51" t="inlineStr">
        <is>
          <t>VAGO</t>
        </is>
      </c>
      <c r="D33" s="57" t="n"/>
      <c r="E33" s="52" t="n"/>
      <c r="G33" s="42" t="inlineStr">
        <is>
          <t>Dev. Taxa Incendio</t>
        </is>
      </c>
      <c r="H33" s="55" t="inlineStr">
        <is>
          <t>Taxa Incêndio</t>
        </is>
      </c>
      <c r="I33" s="56" t="inlineStr">
        <is>
          <t>Custos com imóveis próprios:Taxas e Impostos sobre imóveis</t>
        </is>
      </c>
    </row>
    <row r="34">
      <c r="A34" s="51" t="inlineStr">
        <is>
          <t>R SACADURA CABRAL,149</t>
        </is>
      </c>
      <c r="B34" s="51" t="inlineStr">
        <is>
          <t>Rua Sacadura Cabral N. 149 - Prédio (195 1/1)</t>
        </is>
      </c>
      <c r="C34" s="51" t="inlineStr">
        <is>
          <t>VAGO</t>
        </is>
      </c>
      <c r="D34" s="57" t="n"/>
      <c r="E34" s="52" t="n"/>
      <c r="G34" s="74" t="inlineStr">
        <is>
          <t>Dev. Diversos</t>
        </is>
      </c>
      <c r="H34" s="75" t="inlineStr">
        <is>
          <t>Não tem regra</t>
        </is>
      </c>
      <c r="I34" s="76" t="inlineStr">
        <is>
          <t>Não tem regra</t>
        </is>
      </c>
    </row>
    <row r="35">
      <c r="A35" s="51" t="inlineStr">
        <is>
          <t>R SACADURA CABRAL,151 LOJA</t>
        </is>
      </c>
      <c r="B35" s="51" t="inlineStr">
        <is>
          <t>Rua Sacadura Cabral N. 151 / Loja (196 1/2)</t>
        </is>
      </c>
      <c r="C35" s="51" t="inlineStr">
        <is>
          <t>VAGO</t>
        </is>
      </c>
      <c r="D35" s="57" t="n"/>
      <c r="E35" s="52" t="n"/>
      <c r="G35" s="77" t="inlineStr">
        <is>
          <t>Cota Extra</t>
        </is>
      </c>
      <c r="H35" s="59" t="inlineStr">
        <is>
          <t>Condomínio</t>
        </is>
      </c>
      <c r="I35" s="60" t="inlineStr">
        <is>
          <t>Custos com imóveis próprios:Manutenção e Condomínio</t>
        </is>
      </c>
    </row>
    <row r="36">
      <c r="A36" s="51" t="inlineStr">
        <is>
          <t>R SACADURA CABRAL,151 SOBRADO</t>
        </is>
      </c>
      <c r="B36" s="51" t="inlineStr">
        <is>
          <t>Rua Sacadura Cabral N. 151</t>
        </is>
      </c>
      <c r="C36" s="51" t="inlineStr">
        <is>
          <t>VAGO</t>
        </is>
      </c>
      <c r="D36" s="57" t="n"/>
      <c r="E36" s="52" t="n"/>
    </row>
    <row r="37">
      <c r="A37" s="51" t="inlineStr">
        <is>
          <t>R SENADOR DANTAS,117 LOJA Q</t>
        </is>
      </c>
      <c r="B37" s="51" t="inlineStr">
        <is>
          <t>Rua Senador Dantas N. 117 / Loja Q (126 1/1)</t>
        </is>
      </c>
      <c r="C37" s="51" t="inlineStr">
        <is>
          <t>ELIANE FURTADO CATUNDA</t>
        </is>
      </c>
      <c r="D37" s="43" t="n"/>
      <c r="E37" s="52" t="n"/>
    </row>
    <row r="38">
      <c r="A38" s="51" t="inlineStr">
        <is>
          <t>R DOS INVALIDOS,138 LJA.I BL.01</t>
        </is>
      </c>
      <c r="B38" s="51" t="inlineStr">
        <is>
          <t>Rua Dos Inválidos N. 138  /  Loja I Do  Bloco I (152 1/2)</t>
        </is>
      </c>
      <c r="C38" s="51" t="inlineStr">
        <is>
          <t>BAR E LANCHONETE PH LTDA</t>
        </is>
      </c>
      <c r="D38" s="57" t="n"/>
      <c r="E38" s="52" t="n"/>
    </row>
    <row r="39">
      <c r="A39" s="51" t="inlineStr">
        <is>
          <t>R SETE DE SETEMBRO,92 LJA 112</t>
        </is>
      </c>
      <c r="B39" s="51" t="inlineStr">
        <is>
          <t>Rua Sete De Setembro N. 92 / Loja 112 (137 1/1)</t>
        </is>
      </c>
      <c r="C39" s="51" t="inlineStr">
        <is>
          <t>VAGO</t>
        </is>
      </c>
      <c r="D39" s="57" t="n"/>
      <c r="E39" s="52" t="n"/>
    </row>
    <row r="40">
      <c r="A40" s="51" t="inlineStr">
        <is>
          <t>R SAO FCO XAVIER,196 TER.E R MORAES SILV</t>
        </is>
      </c>
      <c r="B40" s="51" t="inlineStr">
        <is>
          <t>Rua São Francisco Xavier N. 196 / Loja E Casa 155 Complemento (132 2.5/5)</t>
        </is>
      </c>
      <c r="C40" s="51" t="inlineStr">
        <is>
          <t>GALETO FORMULA III LTDA-EPP</t>
        </is>
      </c>
      <c r="D40" s="57" t="n"/>
      <c r="E40" s="52" t="n"/>
    </row>
    <row r="41">
      <c r="A41" s="51" t="inlineStr">
        <is>
          <t>R SAO FRANCISCO XAVIER,194 E 196 SOBRADO</t>
        </is>
      </c>
      <c r="B41" s="51" t="inlineStr">
        <is>
          <t>Rua São Francisco Xavier N. 194 Sobrado E 196 Sobrado (132 3/5)</t>
        </is>
      </c>
      <c r="C41" s="51" t="inlineStr">
        <is>
          <t>VAGO</t>
        </is>
      </c>
      <c r="D41" s="57" t="n"/>
      <c r="E41" s="52" t="n"/>
    </row>
    <row r="42">
      <c r="A42" s="51" t="inlineStr">
        <is>
          <t>R MORAIS E SILVA,153 CASA</t>
        </is>
      </c>
      <c r="B42" s="51" t="inlineStr">
        <is>
          <t>Rua Moraes E Silva N. 153  / Casa (132 4/5)</t>
        </is>
      </c>
      <c r="C42" s="51" t="inlineStr">
        <is>
          <t>HELENA BALTAR DA SILVA</t>
        </is>
      </c>
      <c r="D42" s="57" t="n"/>
      <c r="E42" s="52" t="n"/>
    </row>
    <row r="43">
      <c r="A43" s="51" t="inlineStr">
        <is>
          <t>R DA ALFANDEGA, 97 LOJA</t>
        </is>
      </c>
      <c r="B43" s="51" t="inlineStr">
        <is>
          <t>Rua Da Alfândega N. 97 / Loja (187 1/2)</t>
        </is>
      </c>
      <c r="C43" s="51" t="inlineStr">
        <is>
          <t>MICHEL FALCAO ROSA E/OU</t>
        </is>
      </c>
      <c r="D43" s="57" t="n"/>
      <c r="E43" s="52" t="n"/>
    </row>
    <row r="44">
      <c r="A44" s="51" t="inlineStr">
        <is>
          <t>R DA ALFANDEGA,97 PARTE 1 E 2 PAVIMENTOS</t>
        </is>
      </c>
      <c r="B44" s="51" t="inlineStr">
        <is>
          <t>Rua Da Alfândega N. 97 / 1º E 2º Pavimentos (187 2/2)</t>
        </is>
      </c>
      <c r="C44" s="51" t="inlineStr">
        <is>
          <t>A.S. DIVERS ADVENTURES LTDA-EP</t>
        </is>
      </c>
      <c r="D44" s="57" t="n"/>
      <c r="E44" s="52" t="n"/>
    </row>
    <row r="45">
      <c r="A45" s="51" t="inlineStr">
        <is>
          <t>R MIGUEL COUTO, 143/1.ANDAR</t>
        </is>
      </c>
      <c r="B45" s="51" t="inlineStr">
        <is>
          <t>Rua Miguel Couto N. 143 / 1º Andar (121 2/3)</t>
        </is>
      </c>
      <c r="C45" s="51" t="inlineStr">
        <is>
          <t>CARLOS FERNANDES DUARTE</t>
        </is>
      </c>
      <c r="D45" s="43" t="n"/>
      <c r="E45" s="52" t="n"/>
    </row>
    <row r="46">
      <c r="A46" s="51" t="inlineStr">
        <is>
          <t>R MIGUEL COUTO, 143/2.ANDAR</t>
        </is>
      </c>
      <c r="B46" s="51" t="inlineStr">
        <is>
          <t>Rua Miguel Couto N. 143 / 2º Andar (121 3/3)</t>
        </is>
      </c>
      <c r="C46" s="51" t="inlineStr">
        <is>
          <t>STUDIO DE DANCA FLAVIO MARQUES</t>
        </is>
      </c>
      <c r="D46" s="57" t="n"/>
      <c r="E46" s="52" t="n"/>
    </row>
    <row r="47">
      <c r="A47" s="0" t="inlineStr">
        <is>
          <t>R SAO FRANCISCO XAVIER,194  PARTE (LOJA)</t>
        </is>
      </c>
      <c r="B47" s="51" t="inlineStr">
        <is>
          <t>Rua São Francisco Xavier N. 194 / Loja (132 1/5)</t>
        </is>
      </c>
      <c r="C47" s="51" t="inlineStr">
        <is>
          <t>GALETO FORMULA III LTDA-EPP</t>
        </is>
      </c>
      <c r="E47" s="52" t="n"/>
    </row>
    <row r="48">
      <c r="A48" s="49" t="inlineStr">
        <is>
          <t>4046-0 AV CHURCHILL,129 LJ.B/STA LUZIA,255 A SS</t>
        </is>
      </c>
      <c r="B48" s="49" t="inlineStr">
        <is>
          <t>Av Church 129 Lj B / Sta Luzia, 255 A SS</t>
        </is>
      </c>
      <c r="C48" s="49" t="inlineStr">
        <is>
          <t>COM.DE MAT.DE CONST.EVARISTO D</t>
        </is>
      </c>
      <c r="D48" s="48" t="inlineStr">
        <is>
          <t>Com. Mat. de Const. Evaristo</t>
        </is>
      </c>
      <c r="E48" s="50" t="n"/>
    </row>
    <row r="49">
      <c r="A49" s="38" t="inlineStr">
        <is>
          <t>4487-3 AV DAS AMÉRICAS,1155 LOJA D</t>
        </is>
      </c>
      <c r="B49" s="38" t="inlineStr">
        <is>
          <t>Av das Américas 1155 lj D</t>
        </is>
      </c>
      <c r="C49" s="38" t="inlineStr">
        <is>
          <t>DOM MANUEL DA BARRA PADARIA E</t>
        </is>
      </c>
      <c r="D49" s="40" t="inlineStr">
        <is>
          <t>Dom Manuel da Barra Padaria</t>
        </is>
      </c>
      <c r="E49" s="41" t="n"/>
    </row>
    <row r="50">
      <c r="A50" s="38" t="inlineStr">
        <is>
          <t>4192-0 AV MEM DE SA,226 LJ.B</t>
        </is>
      </c>
      <c r="B50" s="38" t="inlineStr">
        <is>
          <t>Av MDS 226 Lj B (180)</t>
        </is>
      </c>
      <c r="C50" s="38" t="inlineStr">
        <is>
          <t>Vago</t>
        </is>
      </c>
      <c r="D50" s="40" t="inlineStr">
        <is>
          <t>Vago</t>
        </is>
      </c>
      <c r="E50" s="41" t="n"/>
    </row>
    <row r="51">
      <c r="A51" s="38" t="inlineStr">
        <is>
          <t>4265-0 R ALZIRA BRANDÃO,11/701</t>
        </is>
      </c>
      <c r="B51" s="38" t="inlineStr">
        <is>
          <t>R Alzira Brandão 11 / 701</t>
        </is>
      </c>
      <c r="C51" s="39" t="inlineStr">
        <is>
          <t>MARCELA PEREIRA SOARES</t>
        </is>
      </c>
      <c r="D51" s="40" t="inlineStr">
        <is>
          <t>Marcela Pereira Soares</t>
        </is>
      </c>
      <c r="E51" s="41" t="inlineStr">
        <is>
          <t>Vago</t>
        </is>
      </c>
    </row>
    <row r="52">
      <c r="A52" s="38" t="inlineStr">
        <is>
          <t>1405-2 R DA ASSEMBLEIA,15 LJA</t>
        </is>
      </c>
      <c r="B52" s="38" t="inlineStr">
        <is>
          <t>R Assemb 15 / E Lj 15A</t>
        </is>
      </c>
      <c r="C52" s="38" t="inlineStr">
        <is>
          <t>RESTAURANTE ASSEMBLEIA GOURMET</t>
        </is>
      </c>
      <c r="D52" s="42" t="inlineStr">
        <is>
          <t>Restaurante Assembléia Gourmet</t>
        </is>
      </c>
      <c r="E52" s="41" t="n"/>
    </row>
    <row r="53">
      <c r="A53" s="38" t="inlineStr">
        <is>
          <t>4021-5 R GAL ESPÍRITO SANTO CARDOSO,342/101</t>
        </is>
      </c>
      <c r="B53" s="38" t="inlineStr">
        <is>
          <t>R GESC 342 / 101 (202)</t>
        </is>
      </c>
      <c r="C53" s="38" t="inlineStr">
        <is>
          <t>EMILY DE MENDONCA MARQUES FARI</t>
        </is>
      </c>
      <c r="D53" s="42" t="inlineStr">
        <is>
          <t>Emily De Mendonca Marques</t>
        </is>
      </c>
      <c r="E53" s="41" t="n"/>
    </row>
    <row r="54">
      <c r="A54" s="38" t="inlineStr">
        <is>
          <t>4022-3 R GAL ESPÍRITO SANTO CARDODO,342/201</t>
        </is>
      </c>
      <c r="B54" s="38" t="inlineStr">
        <is>
          <t>R GESC 342 / 201 (203)</t>
        </is>
      </c>
      <c r="C54" s="38" t="inlineStr">
        <is>
          <t>OTAVIO LUIZ DE SOUSA SILVA</t>
        </is>
      </c>
      <c r="D54" s="40" t="inlineStr">
        <is>
          <t>Otavio Luiz De Sousa Silva</t>
        </is>
      </c>
      <c r="E54" s="41" t="n"/>
    </row>
    <row r="55">
      <c r="A55" s="38" t="inlineStr">
        <is>
          <t>4023-1 R GAL ESPÍRITO SANTO CARDOSO,342/202</t>
        </is>
      </c>
      <c r="B55" s="38" t="inlineStr">
        <is>
          <t>R GESC 342 / 202 (204)</t>
        </is>
      </c>
      <c r="C55" s="38" t="inlineStr">
        <is>
          <t>HIAGO BARRETO MENDES</t>
        </is>
      </c>
      <c r="D55" s="40" t="inlineStr">
        <is>
          <t>Hiago Barreto Mendes</t>
        </is>
      </c>
      <c r="E55" s="41" t="n"/>
    </row>
    <row r="56">
      <c r="A56" s="38" t="inlineStr">
        <is>
          <t>1502-4 R JAIME OVALE,200/201</t>
        </is>
      </c>
      <c r="B56" s="38" t="inlineStr">
        <is>
          <t>R JO 200/201 (139)</t>
        </is>
      </c>
      <c r="C56" s="38" t="inlineStr">
        <is>
          <t>FRANCO DE MARQUET FREITAS</t>
        </is>
      </c>
      <c r="D56" s="40" t="inlineStr">
        <is>
          <t>Franco de Marquet Freitas</t>
        </is>
      </c>
      <c r="E56" s="41" t="n"/>
    </row>
    <row r="57">
      <c r="A57" s="38" t="inlineStr">
        <is>
          <t>4058-4 R DO REZENDE 99/902</t>
        </is>
      </c>
      <c r="B57" s="38" t="inlineStr">
        <is>
          <t>R Resende 99 / Apt 902 (208 1/1)</t>
        </is>
      </c>
      <c r="C57" s="38" t="inlineStr">
        <is>
          <t>MARIA DE LOURDES SOUSA RIBEIRO</t>
        </is>
      </c>
      <c r="D57" s="40" t="inlineStr">
        <is>
          <t>Maria de Lourdes Sousa Ribeiro</t>
        </is>
      </c>
      <c r="E57" s="41" t="n"/>
    </row>
    <row r="58">
      <c r="A58" s="38" t="inlineStr">
        <is>
          <t>4193-9 R SENADOR DANTAS,117 LJA E SS E</t>
        </is>
      </c>
      <c r="B58" s="38" t="inlineStr">
        <is>
          <t>R SD 117 Lj E (146)</t>
        </is>
      </c>
      <c r="C58" s="38" t="inlineStr">
        <is>
          <t>DAGOSTO BRISTRO SENADOR DANTAS</t>
        </is>
      </c>
      <c r="D58" s="40" t="inlineStr">
        <is>
          <t>Dagosto Bristro Senador Dantas</t>
        </is>
      </c>
      <c r="E58" s="41" t="n"/>
    </row>
    <row r="59">
      <c r="A59" s="38" t="inlineStr">
        <is>
          <t>1503-2 R SENADOR DANTAS,117 LJA H</t>
        </is>
      </c>
      <c r="B59" s="38" t="inlineStr">
        <is>
          <t>R SD 117 Lj H (160)</t>
        </is>
      </c>
      <c r="C59" s="38" t="inlineStr">
        <is>
          <t>Vago</t>
        </is>
      </c>
      <c r="D59" s="40" t="inlineStr">
        <is>
          <t>Vago</t>
        </is>
      </c>
      <c r="E59" s="41" t="n"/>
    </row>
    <row r="60">
      <c r="A60" s="38" t="inlineStr">
        <is>
          <t>1477-0 R SENADOR DANTAS,117 LJA P</t>
        </is>
      </c>
      <c r="B60" s="38" t="inlineStr">
        <is>
          <t>R SD 117 Lj P (159)</t>
        </is>
      </c>
      <c r="C60" s="38" t="inlineStr">
        <is>
          <t>IVAN DO NASCIMENTO SILVA</t>
        </is>
      </c>
      <c r="D60" s="43" t="inlineStr">
        <is>
          <t>Ivan do Nascimento Silva</t>
        </is>
      </c>
      <c r="E60" s="41" t="n"/>
    </row>
    <row r="61">
      <c r="A61" s="38" t="inlineStr">
        <is>
          <t>4107-6 R SEN RUY CARNEIRO,230 S/203</t>
        </is>
      </c>
      <c r="B61" s="38" t="inlineStr">
        <is>
          <t>R SRC 230 / 203 (169/170 2/7)</t>
        </is>
      </c>
      <c r="C61" s="38" t="inlineStr">
        <is>
          <t>JOELIZE COSTA DOS SANTOS</t>
        </is>
      </c>
      <c r="D61" s="40" t="inlineStr">
        <is>
          <t>Joelize Costa dos Santos</t>
        </is>
      </c>
      <c r="E61" s="41" t="n"/>
    </row>
    <row r="62">
      <c r="A62" s="38" t="inlineStr">
        <is>
          <t>4108-4 R SEN RUY CARNEIRO,230 S/204</t>
        </is>
      </c>
      <c r="B62" s="38" t="inlineStr">
        <is>
          <t>R SRC 230 / 204 (169/170 3/7)</t>
        </is>
      </c>
      <c r="C62" s="38" t="inlineStr">
        <is>
          <t>BRASLIGHT IND.COM.SERV.EQUIP.I</t>
        </is>
      </c>
      <c r="D62" s="40" t="inlineStr">
        <is>
          <t>Brasilight Ind. Com. Serv. Equip.</t>
        </is>
      </c>
      <c r="E62" s="41" t="n"/>
    </row>
    <row r="63">
      <c r="A63" s="38" t="inlineStr">
        <is>
          <t>4109-2 R SEN RUY CARNEIRO,230 S/205</t>
        </is>
      </c>
      <c r="B63" s="38" t="inlineStr">
        <is>
          <t>R SRC 230 / 205 (169/170 4/7)</t>
        </is>
      </c>
      <c r="C63" s="38" t="inlineStr">
        <is>
          <t>Vago</t>
        </is>
      </c>
      <c r="D63" s="40" t="inlineStr">
        <is>
          <t>Vago</t>
        </is>
      </c>
      <c r="E63" s="41" t="n"/>
    </row>
    <row r="64">
      <c r="A64" s="38" t="inlineStr">
        <is>
          <t>4110-6 R SEN RUY CARNEIRO,230 S/206</t>
        </is>
      </c>
      <c r="B64" s="38" t="inlineStr">
        <is>
          <t>R SRC 230 / 206 (169/170 5/7)</t>
        </is>
      </c>
      <c r="C64" s="38" t="inlineStr">
        <is>
          <t>Vago</t>
        </is>
      </c>
      <c r="D64" s="40" t="inlineStr">
        <is>
          <t>Vago</t>
        </is>
      </c>
      <c r="E64" s="41" t="n"/>
    </row>
    <row r="65">
      <c r="A65" s="38" t="inlineStr">
        <is>
          <t>R SEN RUY CARNEIRO,230 S/302</t>
        </is>
      </c>
      <c r="B65" s="38" t="inlineStr">
        <is>
          <t>R SRC 230 / 302 (169/170 6/7)</t>
        </is>
      </c>
      <c r="C65" s="38" t="inlineStr">
        <is>
          <t>ALINE CAMPELO GAMA</t>
        </is>
      </c>
      <c r="D65" s="40" t="inlineStr">
        <is>
          <t>Aline Campelo Gama</t>
        </is>
      </c>
      <c r="E65" s="41" t="n"/>
    </row>
    <row r="66">
      <c r="A66" s="38" t="inlineStr">
        <is>
          <t>4121-1 R SEN RUY CARNEIRO,230 S/303</t>
        </is>
      </c>
      <c r="B66" s="38" t="inlineStr">
        <is>
          <t>R SRC 230 / 303 (169/170 7/7)</t>
        </is>
      </c>
      <c r="C66" s="38" t="inlineStr">
        <is>
          <t>WS EMPREEND.IMOBILIÁRIOS E PAR</t>
        </is>
      </c>
      <c r="D66" s="58" t="inlineStr">
        <is>
          <t>Ws Empreendimentos</t>
        </is>
      </c>
      <c r="E66" s="41" t="n"/>
    </row>
    <row r="67">
      <c r="A67" s="38" t="inlineStr">
        <is>
          <t>4106-8 R SEN RUY CARNEIRO,230 LOJA B</t>
        </is>
      </c>
      <c r="B67" s="38" t="inlineStr">
        <is>
          <t>R SRC 230 Lj B (169/170 1/7)</t>
        </is>
      </c>
      <c r="C67" s="38" t="inlineStr">
        <is>
          <t>Vago</t>
        </is>
      </c>
      <c r="D67" s="58" t="inlineStr">
        <is>
          <t>Vago</t>
        </is>
      </c>
      <c r="E67" s="41" t="n"/>
    </row>
    <row r="68">
      <c r="A68" s="64" t="inlineStr">
        <is>
          <t>1503-2 R SENADOR DANTAS,117 LJA H</t>
        </is>
      </c>
      <c r="B68" s="59" t="inlineStr">
        <is>
          <t>R SD 117 Lj H (160)</t>
        </is>
      </c>
      <c r="C68" s="64" t="inlineStr">
        <is>
          <t>SALAO DE BELEZA STUDIO ROB E T</t>
        </is>
      </c>
      <c r="D68" s="65" t="inlineStr">
        <is>
          <t>SALAO DE BELEZA STUDIO ROB E T</t>
        </is>
      </c>
      <c r="E68" s="60" t="n"/>
    </row>
  </sheetData>
  <autoFilter ref="A2:E67">
    <filterColumn colId="3" hiddenButton="0" showButton="0"/>
  </autoFilter>
  <mergeCells count="3">
    <mergeCell ref="A1:E1"/>
    <mergeCell ref="G1:I1"/>
    <mergeCell ref="D2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topLeftCell="E1" workbookViewId="0">
      <selection activeCell="G2" sqref="G2"/>
    </sheetView>
  </sheetViews>
  <sheetFormatPr baseColWidth="8" defaultColWidth="11.44140625" defaultRowHeight="14.4"/>
  <cols>
    <col width="20.33203125" bestFit="1" customWidth="1" style="30" min="1" max="1"/>
    <col width="65.33203125" bestFit="1" customWidth="1" style="30" min="2" max="2"/>
    <col width="18.5546875" bestFit="1" customWidth="1" style="30" min="3" max="3"/>
    <col width="46.88671875" bestFit="1" customWidth="1" style="30" min="4" max="4"/>
    <col width="48.44140625" bestFit="1" customWidth="1" style="30" min="5" max="5"/>
    <col width="53.5546875" customWidth="1" style="30" min="6" max="6"/>
    <col width="58.6640625" bestFit="1" customWidth="1" style="30" min="7" max="7"/>
    <col width="48.44140625" bestFit="1" customWidth="1" style="30" min="8" max="8"/>
    <col width="46.88671875" bestFit="1" customWidth="1" style="30" min="9" max="9"/>
    <col width="48.44140625" bestFit="1" customWidth="1" style="30" min="10" max="10"/>
  </cols>
  <sheetData>
    <row r="1" ht="18" customHeight="1" s="30">
      <c r="A1" s="1" t="inlineStr">
        <is>
          <t>Centros de Custo</t>
        </is>
      </c>
      <c r="B1" s="1" t="inlineStr">
        <is>
          <t>Locais</t>
        </is>
      </c>
      <c r="C1" s="1" t="inlineStr">
        <is>
          <t>Produto/Serviço</t>
        </is>
      </c>
      <c r="D1" s="1" t="inlineStr">
        <is>
          <t>Cliente</t>
        </is>
      </c>
      <c r="E1" s="1" t="inlineStr">
        <is>
          <t>Conta</t>
        </is>
      </c>
      <c r="F1" s="1" t="inlineStr">
        <is>
          <t>Categoria</t>
        </is>
      </c>
      <c r="G1" s="1" t="inlineStr">
        <is>
          <t>Beneficiário</t>
        </is>
      </c>
      <c r="H1" s="1" t="inlineStr">
        <is>
          <t>Conta contábil</t>
        </is>
      </c>
      <c r="I1" s="1" t="inlineStr">
        <is>
          <t>Nome</t>
        </is>
      </c>
    </row>
    <row r="2">
      <c r="A2" s="34" t="inlineStr">
        <is>
          <t>Aforamento</t>
        </is>
      </c>
      <c r="B2" s="0" t="inlineStr">
        <is>
          <t>Rua Visconde De Inhaúma N. 62 / 2º E 3º Andares (149 2/2)</t>
        </is>
      </c>
      <c r="C2" s="0" t="inlineStr">
        <is>
          <t>Aluguel</t>
        </is>
      </c>
      <c r="D2" s="0" t="inlineStr">
        <is>
          <t>A.S DIVERS ADVENTURES</t>
        </is>
      </c>
      <c r="E2" s="0" t="inlineStr">
        <is>
          <t>Caixa e equivalentes-caixa:Adibras</t>
        </is>
      </c>
      <c r="F2" s="37" t="inlineStr">
        <is>
          <t>Custos com imóveis próprios:Administração dos imóveis</t>
        </is>
      </c>
      <c r="G2" s="0" t="inlineStr">
        <is>
          <t>ADIBRAS ADMINISTRADORA BRASILEIRA DE BENS LTDA</t>
        </is>
      </c>
      <c r="H2" s="0" t="inlineStr">
        <is>
          <t>Adibras - Transitória de ativos</t>
        </is>
      </c>
      <c r="I2" s="0" t="inlineStr">
        <is>
          <t>A.S DIVERS ADVENTURES</t>
        </is>
      </c>
    </row>
    <row r="3">
      <c r="A3" s="35" t="inlineStr">
        <is>
          <t>Água e Esgoto</t>
        </is>
      </c>
      <c r="B3" s="0" t="inlineStr">
        <is>
          <t>Praça Saens Pena N. 67 / Parte Da Loja (144 3/3)</t>
        </is>
      </c>
      <c r="D3" s="0" t="inlineStr">
        <is>
          <t>A.S. Divers Adventures</t>
        </is>
      </c>
      <c r="E3" s="0" t="inlineStr">
        <is>
          <t>Adibras - Transitória de ativos</t>
        </is>
      </c>
      <c r="F3" s="35" t="inlineStr">
        <is>
          <t>Custos com imóveis próprios:Manutenção e Condomínio</t>
        </is>
      </c>
      <c r="H3" s="0" t="inlineStr">
        <is>
          <t>Outros Passivos:Adibras - Transitória de passivos</t>
        </is>
      </c>
      <c r="I3" s="0" t="inlineStr">
        <is>
          <t>A.S. Divers Adventures</t>
        </is>
      </c>
    </row>
    <row r="4">
      <c r="A4" s="36" t="inlineStr">
        <is>
          <t>Anúncio</t>
        </is>
      </c>
      <c r="B4" s="0" t="inlineStr">
        <is>
          <t>Rua Da Alfândega N. 25 / Sala 602 (124 1/1)</t>
        </is>
      </c>
      <c r="D4" s="0" t="inlineStr">
        <is>
          <t>Armando Da C.M Dos Santos</t>
        </is>
      </c>
      <c r="E4" s="0" t="inlineStr">
        <is>
          <t>Outros Passivos:Adibras - Transitória de passivos</t>
        </is>
      </c>
      <c r="F4" s="36" t="inlineStr">
        <is>
          <t>Custos com imóveis próprios:Publicidade</t>
        </is>
      </c>
      <c r="I4" s="0" t="inlineStr">
        <is>
          <t>Armando Da C.M Dos Santos</t>
        </is>
      </c>
    </row>
    <row r="5">
      <c r="A5" s="37" t="inlineStr">
        <is>
          <t>Comissão</t>
        </is>
      </c>
      <c r="B5" s="0" t="inlineStr">
        <is>
          <t>Rua Da Quitanda N. 161  /  Loja  A (156 1/3)</t>
        </is>
      </c>
      <c r="D5" s="0" t="inlineStr">
        <is>
          <t>ARMANDO DA C.M.DOS SANTOS E/OU</t>
        </is>
      </c>
      <c r="F5" s="34" t="inlineStr">
        <is>
          <t>Custos com imóveis próprios:Taxas e Impostos sobre imóveis</t>
        </is>
      </c>
      <c r="I5" s="0" t="inlineStr">
        <is>
          <t>ARMANDO DA C.M.DOS SANTOS E/OU</t>
        </is>
      </c>
    </row>
    <row r="6">
      <c r="A6" s="35" t="inlineStr">
        <is>
          <t>Condomínio</t>
        </is>
      </c>
      <c r="B6" s="0" t="inlineStr">
        <is>
          <t>Rua Da Quitanda N. 161  /  Sala 201  E  Sala 301 (156 2.3/3)</t>
        </is>
      </c>
      <c r="D6" s="0" t="inlineStr">
        <is>
          <t>BALLETARRJ ESCOLA DE DANCA LTD</t>
        </is>
      </c>
      <c r="I6" s="0" t="inlineStr">
        <is>
          <t>BALLETARRJ ESCOLA DE DANCA LTD</t>
        </is>
      </c>
    </row>
    <row r="7">
      <c r="A7" s="0" t="inlineStr">
        <is>
          <t>Diversos</t>
        </is>
      </c>
      <c r="B7" s="0" t="inlineStr">
        <is>
          <t>Rua Pedro I N. 14 / Sobrado (171 2/2)</t>
        </is>
      </c>
      <c r="D7" s="0" t="inlineStr">
        <is>
          <t>BAR E LANCHONETE PH LTDA</t>
        </is>
      </c>
      <c r="I7" s="0" t="inlineStr">
        <is>
          <t>BAR E LANCHONETE PH LTDA</t>
        </is>
      </c>
    </row>
    <row r="8">
      <c r="A8" s="34" t="inlineStr">
        <is>
          <t>IPTU</t>
        </is>
      </c>
      <c r="B8" s="0" t="inlineStr">
        <is>
          <t>Rua Da Quitanda N. 191 / Loja A (201 1/1)</t>
        </is>
      </c>
      <c r="D8" s="0" t="inlineStr">
        <is>
          <t>BAR E RESTAURANTE MONTE GORDO</t>
        </is>
      </c>
      <c r="I8" s="0" t="inlineStr">
        <is>
          <t>BAR E RESTAURANTE MONTE GORDO</t>
        </is>
      </c>
    </row>
    <row r="9">
      <c r="A9" s="35" t="inlineStr">
        <is>
          <t>Luz de Serviço</t>
        </is>
      </c>
      <c r="B9" s="0" t="inlineStr">
        <is>
          <t>Travessa do Ouvidor N. 17 / Loja 17-A</t>
        </is>
      </c>
      <c r="D9" s="0" t="inlineStr">
        <is>
          <t>Boulevard Gourmet Restaurante</t>
        </is>
      </c>
      <c r="I9" s="0" t="inlineStr">
        <is>
          <t>Boulevard Gourmet Restaurante</t>
        </is>
      </c>
    </row>
    <row r="10">
      <c r="A10" s="35" t="inlineStr">
        <is>
          <t>Manutenção</t>
        </is>
      </c>
      <c r="B10" s="0" t="inlineStr">
        <is>
          <t>Rua General Roca N. 614 / Loja A (145 1/1)</t>
        </is>
      </c>
      <c r="D10" s="0" t="inlineStr">
        <is>
          <t>Carlos Fernandes Duarte</t>
        </is>
      </c>
      <c r="I10" s="0" t="inlineStr">
        <is>
          <t>Carlos Fernandes Duarte</t>
        </is>
      </c>
    </row>
    <row r="11">
      <c r="A11" s="37" t="inlineStr">
        <is>
          <t>Passagem</t>
        </is>
      </c>
      <c r="B11" s="0" t="inlineStr">
        <is>
          <t>Praça Saens Pena N. 67 / Parte Do Sobrado (144 2/3)</t>
        </is>
      </c>
      <c r="D11" s="0" t="inlineStr">
        <is>
          <t>CARLOS FERNANDO DUARTE</t>
        </is>
      </c>
      <c r="I11" s="0" t="inlineStr">
        <is>
          <t>CARLOS FERNANDO DUARTE</t>
        </is>
      </c>
    </row>
    <row r="12">
      <c r="A12" s="35" t="inlineStr">
        <is>
          <t>Seguro</t>
        </is>
      </c>
      <c r="B12" s="0" t="inlineStr">
        <is>
          <t>Praça Mauá N. 15 / 2º, 3º E 4º  Andares (134 2/2)</t>
        </is>
      </c>
      <c r="D12" s="0" t="inlineStr">
        <is>
          <t>CENTRO DE FORM. DE CONDUT. LEBL</t>
        </is>
      </c>
      <c r="I12" s="0" t="inlineStr">
        <is>
          <t>CENTRO DE FORM. DE CONDUT. LEBL</t>
        </is>
      </c>
    </row>
    <row r="13">
      <c r="A13" s="34" t="inlineStr">
        <is>
          <t>Taxa Incêndio</t>
        </is>
      </c>
      <c r="B13" s="0" t="inlineStr">
        <is>
          <t>Praça Mauá N. 15 / Loja 15-A (134 1/2)</t>
        </is>
      </c>
      <c r="D13" s="0" t="inlineStr">
        <is>
          <t>Centro De From.De Condut</t>
        </is>
      </c>
      <c r="I13" s="0" t="inlineStr">
        <is>
          <t>Centro De From.De Condut</t>
        </is>
      </c>
    </row>
    <row r="14">
      <c r="A14" s="37" t="inlineStr">
        <is>
          <t>Tx. Expediente</t>
        </is>
      </c>
      <c r="B14" s="0" t="inlineStr">
        <is>
          <t>Rua Capitão Felix N. 110 / Loja 18 Rua 11 Blc P Pav 02 (138 1/1)</t>
        </is>
      </c>
      <c r="D14" s="0" t="inlineStr">
        <is>
          <t>CHCC RESTAURANTE</t>
        </is>
      </c>
      <c r="I14" s="0" t="inlineStr">
        <is>
          <t>CHCC RESTAURANTE</t>
        </is>
      </c>
    </row>
    <row r="15">
      <c r="A15" s="35" t="inlineStr">
        <is>
          <t>Gás</t>
        </is>
      </c>
      <c r="B15" s="0" t="inlineStr">
        <is>
          <t>Rua Pedro I N. 14 / Loja (171 1/2)</t>
        </is>
      </c>
      <c r="D15" s="0" t="inlineStr">
        <is>
          <t>Chcc Restaurante Ltda</t>
        </is>
      </c>
      <c r="I15" s="0" t="inlineStr">
        <is>
          <t>Chcc Restaurante Ltda</t>
        </is>
      </c>
    </row>
    <row r="16">
      <c r="A16" s="35" t="inlineStr">
        <is>
          <t>Luz (consumo)</t>
        </is>
      </c>
      <c r="B16" s="0" t="inlineStr">
        <is>
          <t>Rua Dr. Paulo Fróes Machado N. 95 - Loja - Nova Iguaçu (193 1/1)</t>
        </is>
      </c>
      <c r="D16" s="0" t="inlineStr">
        <is>
          <t>Dom Manuel Da Barra</t>
        </is>
      </c>
      <c r="I16" s="0" t="inlineStr">
        <is>
          <t>Dom Manuel Da Barra</t>
        </is>
      </c>
    </row>
    <row r="17">
      <c r="A17" s="37" t="inlineStr">
        <is>
          <t>Administração</t>
        </is>
      </c>
      <c r="B17" s="0" t="inlineStr">
        <is>
          <t>Rua Dr. Paulo Fróes Machado N. 105 - Loja - Nova Iguaçu (194 1/1)</t>
        </is>
      </c>
      <c r="D17" s="0" t="inlineStr">
        <is>
          <t>DOM MANUEL DA BARRA PADARIA E</t>
        </is>
      </c>
      <c r="I17" s="0" t="inlineStr">
        <is>
          <t>DOM MANUEL DA BARRA PADARIA E</t>
        </is>
      </c>
    </row>
    <row r="18">
      <c r="B18" s="0" t="inlineStr">
        <is>
          <t>Rua Da Passagem N. 83 / Sala 405 (130 1/1)</t>
        </is>
      </c>
      <c r="D18" s="0" t="inlineStr">
        <is>
          <t>DUNA GRILL BAR E RESRAURANTE</t>
        </is>
      </c>
      <c r="I18" s="0" t="inlineStr">
        <is>
          <t>DUNA GRILL BAR E RESRAURANTE</t>
        </is>
      </c>
    </row>
    <row r="19">
      <c r="B19" s="0" t="inlineStr">
        <is>
          <t>Rua Do Acre N. 77 / Loja D (158 1/1)</t>
        </is>
      </c>
      <c r="D19" s="0" t="inlineStr">
        <is>
          <t>Duna Grill Bar E Restaurante L</t>
        </is>
      </c>
      <c r="I19" s="0" t="inlineStr">
        <is>
          <t>Duna Grill Bar E Restaurante L</t>
        </is>
      </c>
    </row>
    <row r="20">
      <c r="B20" s="0" t="inlineStr">
        <is>
          <t>Rua Senador Dantas N. 44 / Loja A (177 1/1)</t>
        </is>
      </c>
      <c r="D20" s="0" t="inlineStr">
        <is>
          <t>ELIANE FURTADO CATUNDA</t>
        </is>
      </c>
      <c r="I20" s="0" t="inlineStr">
        <is>
          <t>ELIANE FURTADO CATUNDA</t>
        </is>
      </c>
    </row>
    <row r="21">
      <c r="B21" s="0" t="inlineStr">
        <is>
          <t>Av. Das Américas N. 1155  /  Loja  D (150 1/1)</t>
        </is>
      </c>
      <c r="D21" s="0" t="inlineStr">
        <is>
          <t>Erick Ribeiro Da Silva</t>
        </is>
      </c>
      <c r="I21" s="0" t="inlineStr">
        <is>
          <t>Erick Ribeiro Da Silva</t>
        </is>
      </c>
    </row>
    <row r="22">
      <c r="B22" s="0" t="inlineStr">
        <is>
          <t>Av. Princesa Isabel N. 300 / Loja B Do Bloco A (128 1/1)</t>
        </is>
      </c>
      <c r="D22" s="0" t="inlineStr">
        <is>
          <t>FORNEC.RIO TROPICAL BRASIL DE</t>
        </is>
      </c>
      <c r="I22" s="0" t="inlineStr">
        <is>
          <t>FORNEC.RIO TROPICAL BRASIL DE</t>
        </is>
      </c>
    </row>
    <row r="23">
      <c r="B23" s="0" t="inlineStr">
        <is>
          <t>Rua Evaristo Da Veiga N. 24 / Prédio (179 1/1)</t>
        </is>
      </c>
      <c r="D23" s="31" t="inlineStr">
        <is>
          <t>Galeto Formula</t>
        </is>
      </c>
      <c r="I23" s="31" t="inlineStr">
        <is>
          <t>Galeto Formula</t>
        </is>
      </c>
    </row>
    <row r="24">
      <c r="B24" s="0" t="inlineStr">
        <is>
          <t>Rua Do Rosário N. 112 / Loja E Sobreloja (178 1.2/9)</t>
        </is>
      </c>
      <c r="D24" s="0" t="inlineStr">
        <is>
          <t>GALETO FORMULA II</t>
        </is>
      </c>
      <c r="I24" s="0" t="inlineStr">
        <is>
          <t>GALETO FORMULA II</t>
        </is>
      </c>
    </row>
    <row r="25">
      <c r="B25" s="0" t="inlineStr">
        <is>
          <t>Rua Do Rosário N. 112 / 2º Andar (178 3/9)</t>
        </is>
      </c>
      <c r="D25" s="0" t="inlineStr">
        <is>
          <t>Galeto Formula Ii Ltda</t>
        </is>
      </c>
      <c r="I25" s="0" t="inlineStr">
        <is>
          <t>Galeto Formula Ii Ltda</t>
        </is>
      </c>
    </row>
    <row r="26">
      <c r="B26" s="0" t="inlineStr">
        <is>
          <t>Rua Do Rosário N. 112 / 3º Andar (178 4/9)</t>
        </is>
      </c>
      <c r="D26" s="0" t="inlineStr">
        <is>
          <t>GALETO FORMULA III</t>
        </is>
      </c>
      <c r="I26" s="0" t="inlineStr">
        <is>
          <t>GALETO FORMULA III</t>
        </is>
      </c>
    </row>
    <row r="27">
      <c r="B27" s="0" t="inlineStr">
        <is>
          <t>Rua Do Rosário N. 112 / 4º Andar (178 5/9)</t>
        </is>
      </c>
      <c r="D27" s="0" t="inlineStr">
        <is>
          <t>Galeto Formula Iii Ltda-Epp</t>
        </is>
      </c>
      <c r="I27" s="0" t="inlineStr">
        <is>
          <t>Galeto Formula Iii Ltda-Epp</t>
        </is>
      </c>
    </row>
    <row r="28">
      <c r="B28" s="0" t="inlineStr">
        <is>
          <t>Rua Do Rosário N. 112 / 5º Andar (178 6/9)</t>
        </is>
      </c>
      <c r="D28" s="0" t="inlineStr">
        <is>
          <t>HELENA BALTAR DA SILVA</t>
        </is>
      </c>
      <c r="I28" s="0" t="inlineStr">
        <is>
          <t>HELENA BALTAR DA SILVA</t>
        </is>
      </c>
    </row>
    <row r="29">
      <c r="B29" s="0" t="inlineStr">
        <is>
          <t>Rua Do Rosário N. 112 / 6º Andar (178 7/9)</t>
        </is>
      </c>
      <c r="D29" s="0" t="inlineStr">
        <is>
          <t>HOUSE DOM MANUEL CAFETERIA</t>
        </is>
      </c>
      <c r="I29" s="0" t="inlineStr">
        <is>
          <t>HOUSE DOM MANUEL CAFETERIA</t>
        </is>
      </c>
    </row>
    <row r="30">
      <c r="B30" s="0" t="inlineStr">
        <is>
          <t>Rua Do Rosário N. 112 / 7º Andar (178 8/9)</t>
        </is>
      </c>
      <c r="D30" s="0" t="inlineStr">
        <is>
          <t>House Dom Manuel Cafeteria Ltd</t>
        </is>
      </c>
      <c r="I30" s="0" t="inlineStr">
        <is>
          <t>House Dom Manuel Cafeteria Ltd</t>
        </is>
      </c>
    </row>
    <row r="31">
      <c r="B31" s="0" t="inlineStr">
        <is>
          <t>Rua Do Rosário N. 112 / 8º Andar  /  Sala 801 (178 9.1/9)</t>
        </is>
      </c>
      <c r="D31" s="0" t="inlineStr">
        <is>
          <t>Ignacio Francisco</t>
        </is>
      </c>
      <c r="I31" s="0" t="inlineStr">
        <is>
          <t>Ignacio Francisco</t>
        </is>
      </c>
    </row>
    <row r="32">
      <c r="B32" s="0" t="inlineStr">
        <is>
          <t>Rua Do Rosário N. 112 / 8º Andar Corresp Ao 9º  /  Sala 801 Parte (178 9.2/9)</t>
        </is>
      </c>
      <c r="D32" s="0" t="inlineStr">
        <is>
          <t>IGNACIO FRANCISCO J P.BALLIVIA</t>
        </is>
      </c>
      <c r="I32" s="0" t="inlineStr">
        <is>
          <t>IGNACIO FRANCISCO J P.BALLIVIA</t>
        </is>
      </c>
    </row>
    <row r="33">
      <c r="B33" s="0" t="inlineStr">
        <is>
          <t>Rua Sacadura Cabral N. 149 - Prédio (195 1/1)</t>
        </is>
      </c>
      <c r="D33" s="0" t="inlineStr">
        <is>
          <t>Integrada</t>
        </is>
      </c>
      <c r="I33" s="0" t="inlineStr">
        <is>
          <t>Integrada</t>
        </is>
      </c>
    </row>
    <row r="34">
      <c r="B34" s="0" t="inlineStr">
        <is>
          <t>Rua Sacadura Cabral N. 151 / Loja (196 1/2)</t>
        </is>
      </c>
      <c r="D34" s="0" t="inlineStr">
        <is>
          <t>Jr Bazar E Materiais</t>
        </is>
      </c>
      <c r="I34" s="0" t="inlineStr">
        <is>
          <t>Jr Bazar E Materiais</t>
        </is>
      </c>
    </row>
    <row r="35">
      <c r="B35" s="0" t="inlineStr">
        <is>
          <t>Rua Sacadura Cabral N. 151</t>
        </is>
      </c>
      <c r="D35" s="0" t="inlineStr">
        <is>
          <t>JULIANA DEGANI COUTINHO</t>
        </is>
      </c>
      <c r="I35" s="0" t="inlineStr">
        <is>
          <t>JULIANA DEGANI COUTINHO</t>
        </is>
      </c>
    </row>
    <row r="36">
      <c r="B36" s="0" t="inlineStr">
        <is>
          <t>Rua Senador Dantas N. 117 / Loja Q (126 1/1)</t>
        </is>
      </c>
      <c r="D36" s="0" t="inlineStr">
        <is>
          <t>Luiz Eduardo Nogueira</t>
        </is>
      </c>
      <c r="I36" s="0" t="inlineStr">
        <is>
          <t>Luiz Eduardo Nogueira</t>
        </is>
      </c>
    </row>
    <row r="37">
      <c r="B37" s="0" t="inlineStr">
        <is>
          <t>Rua Dos Inválidos N. 138  /  Loja I Do  Bloco I (152 1/2)</t>
        </is>
      </c>
      <c r="D37" s="0" t="inlineStr">
        <is>
          <t>Michel Falcao</t>
        </is>
      </c>
      <c r="I37" s="0" t="inlineStr">
        <is>
          <t>Michel Falcao</t>
        </is>
      </c>
    </row>
    <row r="38">
      <c r="B38" s="0" t="inlineStr">
        <is>
          <t>Rua Sete De Setembro N. 92 / Loja 112 (137 1/1)</t>
        </is>
      </c>
      <c r="D38" s="0" t="inlineStr">
        <is>
          <t>MICHEL FALCAO ROSA E/OU</t>
        </is>
      </c>
      <c r="I38" s="0" t="inlineStr">
        <is>
          <t>MICHEL FALCAO ROSA E/OU</t>
        </is>
      </c>
    </row>
    <row r="39">
      <c r="B39" s="0" t="inlineStr">
        <is>
          <t>Rua São Francisco Xavier N. 196 / Loja E Casa 155 Complemento (132 2.5/5)</t>
        </is>
      </c>
      <c r="D39" s="0" t="inlineStr">
        <is>
          <t>Polis Bar Ltda</t>
        </is>
      </c>
      <c r="I39" s="0" t="inlineStr">
        <is>
          <t>Polis Bar Ltda</t>
        </is>
      </c>
    </row>
    <row r="40">
      <c r="B40" s="0" t="inlineStr">
        <is>
          <t>Rua São Francisco Xavier N. 194 Sobrado E 196 Sobrado (132 3/5)</t>
        </is>
      </c>
      <c r="D40" s="0" t="inlineStr">
        <is>
          <t>Raphael Silva Portella Cabral</t>
        </is>
      </c>
      <c r="I40" s="0" t="inlineStr">
        <is>
          <t>Raphael Silva Portella Cabral</t>
        </is>
      </c>
    </row>
    <row r="41">
      <c r="B41" s="0" t="inlineStr">
        <is>
          <t>Rua Moraes E Silva N. 153  / Casa (132 4/5)</t>
        </is>
      </c>
      <c r="D41" s="0" t="inlineStr">
        <is>
          <t>Rest Recanto Da Praia</t>
        </is>
      </c>
      <c r="I41" s="0" t="inlineStr">
        <is>
          <t>Rest Recanto Da Praia</t>
        </is>
      </c>
    </row>
    <row r="42">
      <c r="B42" s="0" t="inlineStr">
        <is>
          <t>Rua Da Alfândega N. 97 / Loja (187 1/2)</t>
        </is>
      </c>
      <c r="D42" s="0" t="inlineStr">
        <is>
          <t>REST.RECANTO DA PRAIA DO CENTRO</t>
        </is>
      </c>
      <c r="I42" s="0" t="inlineStr">
        <is>
          <t>REST.RECANTO DA PRAIA DO CENTRO</t>
        </is>
      </c>
    </row>
    <row r="43">
      <c r="B43" s="0" t="inlineStr">
        <is>
          <t>Rua Da Alfândega N. 97 / 1º E 2º Pavimentos (187 2/2)</t>
        </is>
      </c>
      <c r="D43" s="0" t="inlineStr">
        <is>
          <t>RIO DERME FARMÁCIA DE MANIPULA</t>
        </is>
      </c>
      <c r="I43" s="0" t="inlineStr">
        <is>
          <t>RIO DERME FARMÁCIA DE MANIPULA</t>
        </is>
      </c>
    </row>
    <row r="44">
      <c r="B44" s="0" t="inlineStr">
        <is>
          <t>Rua Miguel Couto N. 143 / 1º Andar (121 2/3)</t>
        </is>
      </c>
      <c r="D44" s="0" t="inlineStr">
        <is>
          <t>Rio Tropical Brasil</t>
        </is>
      </c>
      <c r="I44" s="0" t="inlineStr">
        <is>
          <t>Rio Tropical Brasil</t>
        </is>
      </c>
    </row>
    <row r="45">
      <c r="B45" s="0" t="inlineStr">
        <is>
          <t>Rua Miguel Couto N. 143 / 2º Andar (121 3/3)</t>
        </is>
      </c>
      <c r="D45" s="0" t="inlineStr">
        <is>
          <t>Roberto De Baere</t>
        </is>
      </c>
      <c r="I45" s="0" t="inlineStr">
        <is>
          <t>Roberto De Baere</t>
        </is>
      </c>
    </row>
    <row r="46">
      <c r="D46" s="0" t="inlineStr">
        <is>
          <t>ROBERTO DE BAERE NAEGELI</t>
        </is>
      </c>
      <c r="I46" s="0" t="inlineStr">
        <is>
          <t>ROBERTO DE BAERE NAEGELI</t>
        </is>
      </c>
    </row>
    <row r="47">
      <c r="D47" s="0" t="inlineStr">
        <is>
          <t>Souza Lopes Prod.Alimenticios</t>
        </is>
      </c>
      <c r="I47" s="0" t="inlineStr">
        <is>
          <t>Souza Lopes Prod.Alimenticios</t>
        </is>
      </c>
    </row>
    <row r="48">
      <c r="D48" s="0" t="inlineStr">
        <is>
          <t>STUDIO DE DANÇA FLAVIO MARQUES</t>
        </is>
      </c>
      <c r="I48" s="0" t="inlineStr">
        <is>
          <t>STUDIO DE DANÇA FLAVIO MARQUES</t>
        </is>
      </c>
    </row>
    <row r="49">
      <c r="D49" s="0" t="inlineStr">
        <is>
          <t>WESLEY FALK</t>
        </is>
      </c>
      <c r="I49" s="0" t="inlineStr">
        <is>
          <t>WESLEY FALK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4.4"/>
  <cols>
    <col width="14.44140625" bestFit="1" customWidth="1" style="8" min="1" max="1"/>
    <col width="21.6640625" customWidth="1" style="30" min="2" max="2"/>
    <col width="12.5546875" customWidth="1" style="30" min="3" max="3"/>
    <col width="19.33203125" customWidth="1" style="30" min="4" max="4"/>
    <col width="21.5546875" customWidth="1" style="30" min="5" max="5"/>
    <col width="20.109375" customWidth="1" style="30" min="6" max="6"/>
    <col width="14" customWidth="1" style="30" min="7" max="7"/>
    <col width="19.88671875" customWidth="1" style="30" min="10" max="10"/>
    <col width="19" customWidth="1" style="30" min="11" max="11"/>
    <col width="26.109375" customWidth="1" style="30" min="12" max="12"/>
    <col width="29.33203125" customWidth="1" style="30" min="13" max="13"/>
  </cols>
  <sheetData>
    <row r="1">
      <c r="A1" t="inlineStr">
        <is>
          <t>Receita</t>
        </is>
      </c>
      <c r="B1">
        <f>SUM('Recibos de Venda'!I:I)</f>
        <v/>
      </c>
      <c r="E1">
        <f>B1 - B2</f>
        <v/>
      </c>
    </row>
    <row r="2">
      <c r="A2" t="inlineStr">
        <is>
          <t>Despesa</t>
        </is>
      </c>
      <c r="B2">
        <f>SUM(Despesas!F:F)</f>
        <v/>
      </c>
    </row>
    <row r="3">
      <c r="B3" t="inlineStr">
        <is>
          <t>Débitos</t>
        </is>
      </c>
      <c r="C3" t="inlineStr">
        <is>
          <t>Créditos</t>
        </is>
      </c>
    </row>
    <row r="4">
      <c r="A4" t="inlineStr">
        <is>
          <t>LC (Passivo)</t>
        </is>
      </c>
      <c r="B4">
        <f>SUMIF('Lançamentos Contábeis'!C:C,"Outros Passivos:Adibras - Transitória de passivos",'Lançamentos Contábeis'!D:D)</f>
        <v/>
      </c>
      <c r="C4">
        <f>SUMIF('Lançamentos Contábeis'!C:C,"Outros Passivos:Adibras - Transitória de passivos",'Lançamentos Contábeis'!E:E)</f>
        <v/>
      </c>
      <c r="D4">
        <f>C4-B4</f>
        <v/>
      </c>
    </row>
    <row r="5">
      <c r="A5" t="inlineStr">
        <is>
          <t>Transf e pag</t>
        </is>
      </c>
      <c r="B5">
        <f>0.0</f>
        <v/>
      </c>
      <c r="C5">
        <f>0.0</f>
        <v/>
      </c>
    </row>
    <row r="6">
      <c r="A6" t="inlineStr">
        <is>
          <t>Saldo Planilha</t>
        </is>
      </c>
      <c r="B6">
        <f>B1-B2+D4-B5</f>
        <v/>
      </c>
    </row>
    <row r="8">
      <c r="A8" t="inlineStr">
        <is>
          <t>Extratos adibras</t>
        </is>
      </c>
    </row>
    <row r="9">
      <c r="A9" t="inlineStr">
        <is>
          <t>Si</t>
        </is>
      </c>
      <c r="B9" t="n">
        <v>0</v>
      </c>
    </row>
    <row r="10">
      <c r="A10" t="inlineStr">
        <is>
          <t>Sf</t>
        </is>
      </c>
      <c r="B10" t="n">
        <v>0</v>
      </c>
    </row>
    <row r="11">
      <c r="A11" t="inlineStr">
        <is>
          <t>Dif</t>
        </is>
      </c>
      <c r="B11">
        <f>+B10-B9</f>
        <v/>
      </c>
      <c r="C11">
        <f>+C10-C9</f>
        <v/>
      </c>
    </row>
    <row r="12">
      <c r="A12" t="inlineStr">
        <is>
          <t>Saldo Extratos</t>
        </is>
      </c>
      <c r="B12">
        <f>+B11+C11</f>
        <v/>
      </c>
    </row>
    <row r="14">
      <c r="A14" t="inlineStr">
        <is>
          <t>Diferença</t>
        </is>
      </c>
      <c r="B14">
        <f>B12-B6</f>
        <v/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3" customWidth="1" style="30" min="1" max="1"/>
    <col width="37" customWidth="1" style="30" min="2" max="2"/>
    <col width="30" customWidth="1" style="30" min="3" max="3"/>
    <col width="41" customWidth="1" style="30" min="4" max="4"/>
    <col width="22" customWidth="1" style="30" min="5" max="5"/>
    <col width="32" customWidth="1" style="30" min="6" max="6"/>
    <col width="15" customWidth="1" style="30" min="7" max="7"/>
    <col width="15" customWidth="1" style="30" min="8" max="8"/>
    <col width="25" customWidth="1" style="30" min="9" max="9"/>
    <col width="72" customWidth="1" style="30" min="10" max="10"/>
  </cols>
  <sheetData>
    <row r="1">
      <c r="A1" s="0" t="inlineStr">
        <is>
          <t>Sales Receipt No</t>
        </is>
      </c>
      <c r="B1" s="0" t="inlineStr">
        <is>
          <t>Cliente</t>
        </is>
      </c>
      <c r="C1" s="0" t="inlineStr">
        <is>
          <t>Data do recibo de venda</t>
        </is>
      </c>
      <c r="D1" s="0" t="inlineStr">
        <is>
          <t>Conta</t>
        </is>
      </c>
      <c r="E1" s="0" t="inlineStr">
        <is>
          <t>Produto/Serviço</t>
        </is>
      </c>
      <c r="F1" s="0" t="inlineStr">
        <is>
          <t>Descrição</t>
        </is>
      </c>
      <c r="G1" s="0" t="inlineStr">
        <is>
          <t>Valor</t>
        </is>
      </c>
      <c r="H1" s="0" t="inlineStr">
        <is>
          <t>Desconto</t>
        </is>
      </c>
      <c r="I1" s="0" t="inlineStr">
        <is>
          <t>Saldo</t>
        </is>
      </c>
      <c r="J1" s="0" t="inlineStr">
        <is>
          <t>Local</t>
        </is>
      </c>
    </row>
    <row r="2">
      <c r="B2" s="0" t="inlineStr">
        <is>
          <t>JR BAZAR E MATERIAIS DE CONTRU</t>
        </is>
      </c>
      <c r="C2" s="0" t="inlineStr">
        <is>
          <t>03/05/2025</t>
        </is>
      </c>
      <c r="D2" s="0" t="inlineStr">
        <is>
          <t>Caixa e equivalentes-caixa:Adibras</t>
        </is>
      </c>
      <c r="E2" s="0" t="inlineStr">
        <is>
          <t>Aluguel</t>
        </is>
      </c>
      <c r="F2" s="0" t="inlineStr">
        <is>
          <t>Aluguel  12/2024</t>
        </is>
      </c>
      <c r="G2" s="0" t="n">
        <v>3126.6</v>
      </c>
      <c r="H2" s="0" t="n"/>
      <c r="I2" s="0" t="n">
        <v>3126.6</v>
      </c>
      <c r="J2" s="0" t="inlineStr">
        <is>
          <t>R DAS MARRECAS,29 LOJA  A</t>
        </is>
      </c>
    </row>
    <row r="3">
      <c r="B3" s="0" t="inlineStr">
        <is>
          <t>SOUZA LOPES PROD.ALIMENTICIOS</t>
        </is>
      </c>
      <c r="C3" s="0" t="inlineStr">
        <is>
          <t>03/05/2025</t>
        </is>
      </c>
      <c r="D3" s="0" t="inlineStr">
        <is>
          <t>Caixa e equivalentes-caixa:Adibras</t>
        </is>
      </c>
      <c r="E3" s="0" t="inlineStr">
        <is>
          <t>Aluguel</t>
        </is>
      </c>
      <c r="F3" s="0" t="inlineStr">
        <is>
          <t>Aluguel  12/2024</t>
        </is>
      </c>
      <c r="G3" s="0" t="n">
        <v>2142.32</v>
      </c>
      <c r="H3" s="0" t="n">
        <v>214.25</v>
      </c>
      <c r="I3" s="0" t="n">
        <v>1928.07</v>
      </c>
      <c r="J3" s="0" t="inlineStr">
        <is>
          <t>R MIGUEL COUTO, 143 LJA</t>
        </is>
      </c>
    </row>
    <row r="4">
      <c r="B4" s="0" t="inlineStr">
        <is>
          <t>JULIANA DEGANI COUTINHO</t>
        </is>
      </c>
      <c r="C4" s="0" t="inlineStr">
        <is>
          <t>03/05/2025</t>
        </is>
      </c>
      <c r="D4" s="0" t="inlineStr">
        <is>
          <t>Caixa e equivalentes-caixa:Adibras</t>
        </is>
      </c>
      <c r="E4" s="0" t="inlineStr">
        <is>
          <t>Aluguel</t>
        </is>
      </c>
      <c r="F4" s="0" t="inlineStr">
        <is>
          <t>Aluguel  12/2024</t>
        </is>
      </c>
      <c r="G4" s="0" t="n">
        <v>6000</v>
      </c>
      <c r="H4" s="0" t="n"/>
      <c r="I4" s="0" t="n">
        <v>6000</v>
      </c>
      <c r="J4" s="0" t="inlineStr">
        <is>
          <t>Rua Dr. Paulo Fróes Machado N. 95 - Loja - Nova Iguaçu (193 1/1)</t>
        </is>
      </c>
    </row>
    <row r="5">
      <c r="B5" s="0" t="inlineStr">
        <is>
          <t>CENTRO DE FORM.DE CONDUT. LEBL</t>
        </is>
      </c>
      <c r="C5" s="0" t="inlineStr">
        <is>
          <t>03/05/2025</t>
        </is>
      </c>
      <c r="D5" s="0" t="inlineStr">
        <is>
          <t>Caixa e equivalentes-caixa:Adibras</t>
        </is>
      </c>
      <c r="E5" s="0" t="inlineStr">
        <is>
          <t>Aluguel</t>
        </is>
      </c>
      <c r="F5" s="0" t="inlineStr">
        <is>
          <t>Aluguel  12/2024</t>
        </is>
      </c>
      <c r="G5" s="0" t="n">
        <v>935.28</v>
      </c>
      <c r="H5" s="0" t="n"/>
      <c r="I5" s="0" t="n">
        <v>935.28</v>
      </c>
      <c r="J5" s="0" t="inlineStr">
        <is>
          <t>Rua Do Acre N. 77 / Loja D (158 1/1)</t>
        </is>
      </c>
    </row>
    <row r="6">
      <c r="B6" s="0" t="inlineStr">
        <is>
          <t>DUNA GRILL BAR E RESTAURANTE L</t>
        </is>
      </c>
      <c r="C6" s="0" t="inlineStr">
        <is>
          <t>03/05/2025</t>
        </is>
      </c>
      <c r="D6" s="0" t="inlineStr">
        <is>
          <t>Caixa e equivalentes-caixa:Adibras</t>
        </is>
      </c>
      <c r="E6" s="0" t="inlineStr">
        <is>
          <t>Aluguel</t>
        </is>
      </c>
      <c r="F6" s="0" t="inlineStr">
        <is>
          <t>Aluguel  11/2024</t>
        </is>
      </c>
      <c r="G6" s="0" t="n">
        <v>17734.59</v>
      </c>
      <c r="H6" s="0" t="n"/>
      <c r="I6" s="0" t="n">
        <v>17734.59</v>
      </c>
      <c r="J6" s="0" t="inlineStr">
        <is>
          <t>Rua Evaristo Da Veiga N. 24 / Prédio (179 1/1)</t>
        </is>
      </c>
    </row>
    <row r="7">
      <c r="B7" s="0" t="n"/>
      <c r="C7" s="0" t="inlineStr">
        <is>
          <t>03/05/2025</t>
        </is>
      </c>
      <c r="D7" s="0" t="inlineStr">
        <is>
          <t>Caixa e equivalentes-caixa:Adibras</t>
        </is>
      </c>
      <c r="E7" s="0" t="inlineStr">
        <is>
          <t>Aluguel</t>
        </is>
      </c>
      <c r="F7" s="0" t="inlineStr">
        <is>
          <t>Aluguel  12/2024</t>
        </is>
      </c>
      <c r="G7" s="0" t="n">
        <v>3500</v>
      </c>
      <c r="H7" s="0" t="n"/>
      <c r="I7" s="0" t="n">
        <v>3500</v>
      </c>
      <c r="J7" s="0" t="inlineStr">
        <is>
          <t>Rua Sacadura Cabral N. 149 - Prédio (195 1/1)</t>
        </is>
      </c>
    </row>
    <row r="8">
      <c r="B8" s="0" t="inlineStr">
        <is>
          <t>ERICK RIBEIRO DA SILVA</t>
        </is>
      </c>
      <c r="C8" s="0" t="inlineStr">
        <is>
          <t>03/05/2025</t>
        </is>
      </c>
      <c r="D8" s="0" t="inlineStr">
        <is>
          <t>Caixa e equivalentes-caixa:Adibras</t>
        </is>
      </c>
      <c r="E8" s="0" t="inlineStr">
        <is>
          <t>Aluguel</t>
        </is>
      </c>
      <c r="F8" s="0" t="inlineStr">
        <is>
          <t>Aluguel  12/2024</t>
        </is>
      </c>
      <c r="G8" s="0" t="n">
        <v>523.1</v>
      </c>
      <c r="H8" s="0" t="n"/>
      <c r="I8" s="0" t="n">
        <v>523.1</v>
      </c>
      <c r="J8" s="0" t="inlineStr">
        <is>
          <t>R SANTOS TITARA,159/101 FTE</t>
        </is>
      </c>
    </row>
    <row r="9">
      <c r="B9" s="0" t="inlineStr">
        <is>
          <t>STUDIO DE DANCA FLAVIO MARQUES</t>
        </is>
      </c>
      <c r="C9" s="0" t="inlineStr">
        <is>
          <t>03/05/2025</t>
        </is>
      </c>
      <c r="D9" s="0" t="inlineStr">
        <is>
          <t>Caixa e equivalentes-caixa:Adibras</t>
        </is>
      </c>
      <c r="E9" s="0" t="inlineStr">
        <is>
          <t>Aluguel</t>
        </is>
      </c>
      <c r="F9" s="0" t="inlineStr">
        <is>
          <t>Aluguel  12/2024</t>
        </is>
      </c>
      <c r="G9" s="0" t="n">
        <v>1615.21</v>
      </c>
      <c r="H9" s="0" t="n"/>
      <c r="I9" s="0" t="n">
        <v>1615.21</v>
      </c>
      <c r="J9" s="0" t="inlineStr">
        <is>
          <t>Rua Miguel Couto N. 143 / 2º Andar (121 3/3)</t>
        </is>
      </c>
    </row>
    <row r="10">
      <c r="B10" s="0" t="inlineStr">
        <is>
          <t>FORNEC.RIO TROPICAL BRASIL DE</t>
        </is>
      </c>
      <c r="C10" s="0" t="inlineStr">
        <is>
          <t>03/05/2025</t>
        </is>
      </c>
      <c r="D10" s="0" t="inlineStr">
        <is>
          <t>Caixa e equivalentes-caixa:Adibras</t>
        </is>
      </c>
      <c r="E10" s="0" t="inlineStr">
        <is>
          <t>Aluguel</t>
        </is>
      </c>
      <c r="F10" s="0" t="inlineStr">
        <is>
          <t>Aluguel  12/2024</t>
        </is>
      </c>
      <c r="G10" s="0" t="n">
        <v>875</v>
      </c>
      <c r="H10" s="0" t="n"/>
      <c r="I10" s="0" t="n">
        <v>875</v>
      </c>
      <c r="J10" s="0" t="inlineStr">
        <is>
          <t>Rua Capitão Felix N. 110 / Loja 18 Rua 11 Blc P Pav 02 (138 1/1)</t>
        </is>
      </c>
    </row>
    <row r="11">
      <c r="B11" s="0" t="inlineStr">
        <is>
          <t>IGNACIO FRANCISCO J P.BALLIVIA</t>
        </is>
      </c>
      <c r="C11" s="0" t="inlineStr">
        <is>
          <t>06/05/2025</t>
        </is>
      </c>
      <c r="D11" s="0" t="inlineStr">
        <is>
          <t>Caixa e equivalentes-caixa:Adibras</t>
        </is>
      </c>
      <c r="E11" s="0" t="inlineStr">
        <is>
          <t>Aluguel</t>
        </is>
      </c>
      <c r="F11" s="0" t="inlineStr">
        <is>
          <t>Aluguel  12/2024</t>
        </is>
      </c>
      <c r="G11" s="0" t="n">
        <v>1457.74</v>
      </c>
      <c r="H11" s="0" t="n">
        <v>343.79</v>
      </c>
      <c r="I11" s="0" t="n">
        <v>1113.95</v>
      </c>
      <c r="J11" s="0" t="inlineStr">
        <is>
          <t>Rua Do Rosário N. 112 / 2º Andar (178 3/9)</t>
        </is>
      </c>
    </row>
    <row r="12">
      <c r="B12" s="0" t="inlineStr">
        <is>
          <t>CHCC RESTAURANTE LTDA</t>
        </is>
      </c>
      <c r="C12" s="0" t="inlineStr">
        <is>
          <t>07/05/2025</t>
        </is>
      </c>
      <c r="D12" s="0" t="inlineStr">
        <is>
          <t>Caixa e equivalentes-caixa:Adibras</t>
        </is>
      </c>
      <c r="E12" s="0" t="inlineStr">
        <is>
          <t>Aluguel</t>
        </is>
      </c>
      <c r="F12" s="0" t="inlineStr">
        <is>
          <t>Aluguel  11/2024</t>
        </is>
      </c>
      <c r="G12" s="0" t="n">
        <v>5136.96</v>
      </c>
      <c r="H12" s="0" t="n"/>
      <c r="I12" s="0" t="n">
        <v>5136.96</v>
      </c>
      <c r="J12" s="0" t="inlineStr">
        <is>
          <t>Av. Princesa Isabel N. 300 / Loja B Do Bloco A (128 1/1)</t>
        </is>
      </c>
    </row>
    <row r="13">
      <c r="B13" s="0" t="n"/>
      <c r="C13" s="0" t="inlineStr">
        <is>
          <t>07/05/2025</t>
        </is>
      </c>
      <c r="D13" s="0" t="inlineStr">
        <is>
          <t>Caixa e equivalentes-caixa:Adibras</t>
        </is>
      </c>
      <c r="E13" s="0" t="inlineStr">
        <is>
          <t>Aluguel</t>
        </is>
      </c>
      <c r="F13" s="0" t="inlineStr">
        <is>
          <t>Aluguel  12/2024</t>
        </is>
      </c>
      <c r="G13" s="0" t="n">
        <v>5992.48</v>
      </c>
      <c r="H13" s="0" t="n"/>
      <c r="I13" s="0" t="n">
        <v>5992.48</v>
      </c>
      <c r="J13" s="0" t="inlineStr">
        <is>
          <t>PCA SAENS PENA,67 LJA/SOB/PTE.LOJA</t>
        </is>
      </c>
    </row>
    <row r="14">
      <c r="B14" s="0" t="inlineStr">
        <is>
          <t>BOULEVARD GOURMET RESTAURANTE</t>
        </is>
      </c>
      <c r="C14" s="0" t="inlineStr">
        <is>
          <t>13/05/2025</t>
        </is>
      </c>
      <c r="D14" s="0" t="inlineStr">
        <is>
          <t>Caixa e equivalentes-caixa:Adibras</t>
        </is>
      </c>
      <c r="E14" s="0" t="inlineStr">
        <is>
          <t>Aluguel</t>
        </is>
      </c>
      <c r="F14" s="0" t="inlineStr">
        <is>
          <t>Aluguel  12/2024</t>
        </is>
      </c>
      <c r="G14" s="0" t="n">
        <v>3741.48</v>
      </c>
      <c r="H14" s="0" t="n"/>
      <c r="I14" s="0" t="n">
        <v>3741.48</v>
      </c>
      <c r="J14" s="0" t="inlineStr">
        <is>
          <t>R VISC DE INHAUMA, 62 LJA E SOBRELOJA</t>
        </is>
      </c>
    </row>
    <row r="15">
      <c r="B15" s="0" t="inlineStr">
        <is>
          <t>BAR E RESTAURANTE MONTE GORDO</t>
        </is>
      </c>
      <c r="C15" s="0" t="inlineStr">
        <is>
          <t>13/05/2025</t>
        </is>
      </c>
      <c r="D15" s="0" t="inlineStr">
        <is>
          <t>Caixa e equivalentes-caixa:Adibras</t>
        </is>
      </c>
      <c r="E15" s="0" t="inlineStr">
        <is>
          <t>Aluguel</t>
        </is>
      </c>
      <c r="F15" s="0" t="inlineStr">
        <is>
          <t>Aluguel  12/2024</t>
        </is>
      </c>
      <c r="G15" s="0" t="n">
        <v>1520</v>
      </c>
      <c r="H15" s="0" t="n"/>
      <c r="I15" s="0" t="n">
        <v>1520</v>
      </c>
      <c r="J15" s="0" t="inlineStr">
        <is>
          <t>Rua Senador Dantas N. 44 / Loja A (177 1/1)</t>
        </is>
      </c>
    </row>
    <row r="16">
      <c r="B16" s="0" t="inlineStr">
        <is>
          <t>RESTAURANTE DUROSÁRIO LTDA</t>
        </is>
      </c>
      <c r="C16" s="0" t="inlineStr">
        <is>
          <t>13/05/2025</t>
        </is>
      </c>
      <c r="D16" s="0" t="inlineStr">
        <is>
          <t>Caixa e equivalentes-caixa:Adibras</t>
        </is>
      </c>
      <c r="E16" s="0" t="inlineStr">
        <is>
          <t>Aluguel</t>
        </is>
      </c>
      <c r="F16" s="0" t="inlineStr">
        <is>
          <t>Aluguel  12/2024</t>
        </is>
      </c>
      <c r="G16" s="0" t="n">
        <v>4075.11</v>
      </c>
      <c r="H16" s="0" t="n"/>
      <c r="I16" s="0" t="n">
        <v>4075.11</v>
      </c>
      <c r="J16" s="0" t="inlineStr">
        <is>
          <t>Rua Do Rosário N. 112 / Loja E Sobreloja (178 1.2/9)</t>
        </is>
      </c>
    </row>
    <row r="17">
      <c r="B17" s="0" t="inlineStr">
        <is>
          <t>HELENA BALTAR DA SILVA</t>
        </is>
      </c>
      <c r="C17" s="0" t="inlineStr">
        <is>
          <t>13/05/2025</t>
        </is>
      </c>
      <c r="D17" s="0" t="inlineStr">
        <is>
          <t>Caixa e equivalentes-caixa:Adibras</t>
        </is>
      </c>
      <c r="E17" s="0" t="inlineStr">
        <is>
          <t>Aluguel</t>
        </is>
      </c>
      <c r="F17" s="0" t="inlineStr">
        <is>
          <t>Aluguel  12/2024</t>
        </is>
      </c>
      <c r="G17" s="0" t="n">
        <v>864</v>
      </c>
      <c r="H17" s="0" t="n"/>
      <c r="I17" s="0" t="n">
        <v>864</v>
      </c>
      <c r="J17" s="0" t="inlineStr">
        <is>
          <t>Rua Moraes E Silva N. 153  / Casa (132 4/5)</t>
        </is>
      </c>
    </row>
    <row r="18">
      <c r="B18" s="0" t="inlineStr">
        <is>
          <t>HELENA BALTAR DA SILVA</t>
        </is>
      </c>
      <c r="C18" s="0" t="inlineStr">
        <is>
          <t>13/05/2025</t>
        </is>
      </c>
      <c r="D18" s="0" t="inlineStr">
        <is>
          <t>Caixa e equivalentes-caixa:Adibras</t>
        </is>
      </c>
      <c r="E18" s="0" t="inlineStr">
        <is>
          <t>Aluguel</t>
        </is>
      </c>
      <c r="F18" s="0" t="inlineStr">
        <is>
          <t>Multa Contratual  12/2024</t>
        </is>
      </c>
      <c r="G18" s="0" t="n">
        <v>86.40000000000001</v>
      </c>
      <c r="H18" s="0" t="n"/>
      <c r="I18" s="0" t="n">
        <v>86.40000000000001</v>
      </c>
      <c r="J18" s="0" t="inlineStr">
        <is>
          <t>Rua Moraes E Silva N. 153  / Casa (132 4/5)</t>
        </is>
      </c>
    </row>
    <row r="19">
      <c r="B19" s="0" t="inlineStr">
        <is>
          <t>REST.RECANTO DA PRAIA DO CENTR</t>
        </is>
      </c>
      <c r="C19" s="0" t="inlineStr">
        <is>
          <t>29/05/2025</t>
        </is>
      </c>
      <c r="D19" s="0" t="inlineStr">
        <is>
          <t>Caixa e equivalentes-caixa:Adibras</t>
        </is>
      </c>
      <c r="E19" s="0" t="inlineStr">
        <is>
          <t>Aluguel</t>
        </is>
      </c>
      <c r="F19" s="0" t="inlineStr">
        <is>
          <t>Aluguel  01/2025</t>
        </is>
      </c>
      <c r="G19" s="0" t="n">
        <v>12540</v>
      </c>
      <c r="H19" s="0" t="n"/>
      <c r="I19" s="0" t="n">
        <v>12540</v>
      </c>
      <c r="J19" s="0" t="inlineStr">
        <is>
          <t>Praça Mauá N. 15 / Loja 15-A (134 1/2)</t>
        </is>
      </c>
    </row>
    <row r="20">
      <c r="B20" s="0" t="inlineStr">
        <is>
          <t>ROBERTO DE BAERE NAEGELI</t>
        </is>
      </c>
      <c r="C20" s="0" t="inlineStr">
        <is>
          <t>30/05/2025</t>
        </is>
      </c>
      <c r="D20" s="0" t="inlineStr">
        <is>
          <t>Caixa e equivalentes-caixa:Adibras</t>
        </is>
      </c>
      <c r="E20" s="0" t="inlineStr">
        <is>
          <t>Aluguel</t>
        </is>
      </c>
      <c r="F20" s="0" t="inlineStr">
        <is>
          <t>Aluguel  01/2025</t>
        </is>
      </c>
      <c r="G20" s="0" t="n">
        <v>500</v>
      </c>
      <c r="H20" s="0" t="n"/>
      <c r="I20" s="0" t="n">
        <v>500</v>
      </c>
      <c r="J20" s="0" t="inlineStr">
        <is>
          <t>Rua Da Passagem N. 83 / Sala 405 (130 1/1)</t>
        </is>
      </c>
    </row>
    <row r="21">
      <c r="B21" s="0" t="inlineStr">
        <is>
          <t>LUIZ EDUARDO NOGUEIRA SORAGGI</t>
        </is>
      </c>
      <c r="C21" s="0" t="inlineStr">
        <is>
          <t>30/05/2025</t>
        </is>
      </c>
      <c r="D21" s="0" t="inlineStr">
        <is>
          <t>Caixa e equivalentes-caixa:Adibras</t>
        </is>
      </c>
      <c r="E21" s="0" t="inlineStr">
        <is>
          <t>Aluguel</t>
        </is>
      </c>
      <c r="F21" s="0" t="inlineStr">
        <is>
          <t>Aluguel  01/2025</t>
        </is>
      </c>
      <c r="G21" s="0" t="n">
        <v>1809.18</v>
      </c>
      <c r="H21" s="0" t="n">
        <v>677.5700000000001</v>
      </c>
      <c r="I21" s="0" t="n">
        <v>1131.61</v>
      </c>
      <c r="J21" s="0" t="inlineStr">
        <is>
          <t>Rua Do Rosário N. 112 / 3º Andar (178 4/9)</t>
        </is>
      </c>
    </row>
    <row r="22">
      <c r="B22" s="0" t="inlineStr">
        <is>
          <t>RAPHAEL SILVA PORTELLA CABRAL</t>
        </is>
      </c>
      <c r="C22" s="0" t="inlineStr">
        <is>
          <t>30/05/2025</t>
        </is>
      </c>
      <c r="D22" s="0" t="inlineStr">
        <is>
          <t>Caixa e equivalentes-caixa:Adibras</t>
        </is>
      </c>
      <c r="E22" s="0" t="inlineStr">
        <is>
          <t>Aluguel</t>
        </is>
      </c>
      <c r="F22" s="0" t="inlineStr">
        <is>
          <t>Aluguel  02/2025</t>
        </is>
      </c>
      <c r="G22" s="0" t="n">
        <v>198.77</v>
      </c>
      <c r="H22" s="0" t="n"/>
      <c r="I22" s="0" t="n">
        <v>198.77</v>
      </c>
      <c r="J22" s="0" t="inlineStr">
        <is>
          <t>R DOS INVALIDOS,138 GARAGEM</t>
        </is>
      </c>
    </row>
    <row r="23">
      <c r="B23" s="0" t="inlineStr">
        <is>
          <t>JR BAZAR E MATERIAIS DE CONTRU</t>
        </is>
      </c>
      <c r="C23" s="0" t="inlineStr">
        <is>
          <t>30/05/2025</t>
        </is>
      </c>
      <c r="D23" s="0" t="inlineStr">
        <is>
          <t>Caixa e equivalentes-caixa:Adibras</t>
        </is>
      </c>
      <c r="E23" s="0" t="inlineStr">
        <is>
          <t>Aluguel</t>
        </is>
      </c>
      <c r="F23" s="0" t="inlineStr">
        <is>
          <t>Aluguel  01/2025</t>
        </is>
      </c>
      <c r="G23" s="0" t="n">
        <v>3126.6</v>
      </c>
      <c r="H23" s="0" t="n"/>
      <c r="I23" s="0" t="n">
        <v>3126.6</v>
      </c>
      <c r="J23" s="0" t="inlineStr">
        <is>
          <t>R DAS MARRECAS,29 LOJA  A</t>
        </is>
      </c>
    </row>
    <row r="24">
      <c r="B24" s="0" t="inlineStr">
        <is>
          <t>WESLEY FALK</t>
        </is>
      </c>
      <c r="C24" s="0" t="inlineStr">
        <is>
          <t>31/05/2025</t>
        </is>
      </c>
      <c r="D24" s="0" t="inlineStr">
        <is>
          <t>Caixa e equivalentes-caixa:Adibras</t>
        </is>
      </c>
      <c r="E24" s="0" t="inlineStr">
        <is>
          <t>Aluguel</t>
        </is>
      </c>
      <c r="F24" s="0" t="inlineStr">
        <is>
          <t>Aluguel  01/2025</t>
        </is>
      </c>
      <c r="G24" s="0" t="n">
        <v>12000</v>
      </c>
      <c r="H24" s="0" t="n"/>
      <c r="I24" s="0" t="n">
        <v>12000</v>
      </c>
      <c r="J24" s="0" t="inlineStr">
        <is>
          <t>Praça Mauá N. 15 / 2º, 3º E 4º  Andares (134 2/2)</t>
        </is>
      </c>
    </row>
    <row r="25">
      <c r="B25" s="0" t="inlineStr">
        <is>
          <t>HOUSE DOM MANUEL CAFETERIA LTD</t>
        </is>
      </c>
      <c r="C25" s="0" t="inlineStr">
        <is>
          <t>31/05/2025</t>
        </is>
      </c>
      <c r="D25" s="0" t="inlineStr">
        <is>
          <t>Caixa e equivalentes-caixa:Adibras</t>
        </is>
      </c>
      <c r="E25" s="0" t="inlineStr">
        <is>
          <t>Aluguel</t>
        </is>
      </c>
      <c r="F25" s="0" t="inlineStr">
        <is>
          <t>Aluguel  12/2024</t>
        </is>
      </c>
      <c r="G25" s="0" t="n">
        <v>4000</v>
      </c>
      <c r="H25" s="0" t="n"/>
      <c r="I25" s="0" t="n">
        <v>4000</v>
      </c>
      <c r="J25" s="0" t="inlineStr">
        <is>
          <t>Rua Pedro I N. 14 / Loja (171 1/2)</t>
        </is>
      </c>
    </row>
    <row r="26">
      <c r="B26" s="0" t="inlineStr">
        <is>
          <t>ERICK RIBEIRO DA SILVA</t>
        </is>
      </c>
      <c r="C26" s="0" t="inlineStr">
        <is>
          <t>31/05/2025</t>
        </is>
      </c>
      <c r="D26" s="0" t="inlineStr">
        <is>
          <t>Caixa e equivalentes-caixa:Adibras</t>
        </is>
      </c>
      <c r="E26" s="0" t="inlineStr">
        <is>
          <t>Aluguel</t>
        </is>
      </c>
      <c r="F26" s="0" t="inlineStr">
        <is>
          <t>Aluguel  01/2025</t>
        </is>
      </c>
      <c r="G26" s="0" t="n">
        <v>527.85</v>
      </c>
      <c r="H26" s="0" t="n"/>
      <c r="I26" s="0" t="n">
        <v>527.85</v>
      </c>
      <c r="J26" s="0" t="inlineStr">
        <is>
          <t>R SANTOS TITARA,159/101 FTE</t>
        </is>
      </c>
    </row>
    <row r="27">
      <c r="B27" s="0" t="inlineStr">
        <is>
          <t>BAR E LANCHONETE PH LTDA</t>
        </is>
      </c>
      <c r="C27" s="0" t="inlineStr">
        <is>
          <t>31/05/2025</t>
        </is>
      </c>
      <c r="D27" s="0" t="inlineStr">
        <is>
          <t>Caixa e equivalentes-caixa:Adibras</t>
        </is>
      </c>
      <c r="E27" s="0" t="inlineStr">
        <is>
          <t>Aluguel</t>
        </is>
      </c>
      <c r="F27" s="0" t="inlineStr">
        <is>
          <t>Aluguel  01/2025</t>
        </is>
      </c>
      <c r="G27" s="0" t="n">
        <v>1500</v>
      </c>
      <c r="H27" s="0" t="n"/>
      <c r="I27" s="0" t="n">
        <v>1500</v>
      </c>
      <c r="J27" s="0" t="inlineStr">
        <is>
          <t>Rua Dos Inválidos N. 138  /  Loja I Do  Bloco I (152 1/2)</t>
        </is>
      </c>
    </row>
    <row r="28">
      <c r="B28" s="0" t="inlineStr">
        <is>
          <t>STUDIO DE DANCA FLAVIO MARQUES</t>
        </is>
      </c>
      <c r="C28" s="0" t="inlineStr">
        <is>
          <t>31/05/2025</t>
        </is>
      </c>
      <c r="D28" s="0" t="inlineStr">
        <is>
          <t>Caixa e equivalentes-caixa:Adibras</t>
        </is>
      </c>
      <c r="E28" s="0" t="inlineStr">
        <is>
          <t>Aluguel</t>
        </is>
      </c>
      <c r="F28" s="0" t="inlineStr">
        <is>
          <t>Aluguel  01/2025</t>
        </is>
      </c>
      <c r="G28" s="0" t="n">
        <v>1615.21</v>
      </c>
      <c r="H28" s="0" t="n"/>
      <c r="I28" s="0" t="n">
        <v>1615.21</v>
      </c>
      <c r="J28" s="0" t="inlineStr">
        <is>
          <t>Rua Miguel Couto N. 143 / 2º Andar (121 3/3)</t>
        </is>
      </c>
    </row>
    <row r="29">
      <c r="B29" s="0" t="inlineStr">
        <is>
          <t>SOUZA LOPES PROD.ALIMENTICIOS</t>
        </is>
      </c>
      <c r="C29" s="0" t="inlineStr">
        <is>
          <t>31/05/2025</t>
        </is>
      </c>
      <c r="D29" s="0" t="inlineStr">
        <is>
          <t>Caixa e equivalentes-caixa:Adibras</t>
        </is>
      </c>
      <c r="E29" s="0" t="inlineStr">
        <is>
          <t>Aluguel</t>
        </is>
      </c>
      <c r="F29" s="0" t="inlineStr">
        <is>
          <t>Aluguel  01/2025</t>
        </is>
      </c>
      <c r="G29" s="0" t="n">
        <v>2142.32</v>
      </c>
      <c r="H29" s="0" t="n">
        <v>214.25</v>
      </c>
      <c r="I29" s="0" t="n">
        <v>1928.07</v>
      </c>
      <c r="J29" s="0" t="inlineStr">
        <is>
          <t>R MIGUEL COUTO, 143 LJA</t>
        </is>
      </c>
    </row>
    <row r="30">
      <c r="B30" s="0" t="inlineStr">
        <is>
          <t>JULIANA DEGANI COUTINHO</t>
        </is>
      </c>
      <c r="C30" s="0" t="inlineStr">
        <is>
          <t>31/05/2025</t>
        </is>
      </c>
      <c r="D30" s="0" t="inlineStr">
        <is>
          <t>Caixa e equivalentes-caixa:Adibras</t>
        </is>
      </c>
      <c r="E30" s="0" t="inlineStr">
        <is>
          <t>Aluguel</t>
        </is>
      </c>
      <c r="F30" s="0" t="inlineStr">
        <is>
          <t>Aluguel  01/2025</t>
        </is>
      </c>
      <c r="G30" s="0" t="n">
        <v>6000</v>
      </c>
      <c r="H30" s="0" t="n"/>
      <c r="I30" s="0" t="n">
        <v>6000</v>
      </c>
      <c r="J30" s="0" t="inlineStr">
        <is>
          <t>Rua Dr. Paulo Fróes Machado N. 95 - Loja - Nova Iguaçu (193 1/1)</t>
        </is>
      </c>
    </row>
    <row r="31">
      <c r="B31" s="0" t="inlineStr">
        <is>
          <t>RIO DERME FARMÁCIA DE MANIPULA</t>
        </is>
      </c>
      <c r="C31" s="0" t="inlineStr">
        <is>
          <t>31/05/2025</t>
        </is>
      </c>
      <c r="D31" s="0" t="inlineStr">
        <is>
          <t>Caixa e equivalentes-caixa:Adibras</t>
        </is>
      </c>
      <c r="E31" s="0" t="inlineStr">
        <is>
          <t>Aluguel</t>
        </is>
      </c>
      <c r="F31" s="0" t="inlineStr">
        <is>
          <t>Aluguel  01/2025</t>
        </is>
      </c>
      <c r="G31" s="0" t="n">
        <v>9171.75</v>
      </c>
      <c r="H31" s="0" t="n"/>
      <c r="I31" s="0" t="n">
        <v>9171.75</v>
      </c>
      <c r="J31" s="0" t="inlineStr">
        <is>
          <t>Rua Dr. Paulo Fróes Machado N. 105 - Loja - Nova Iguaçu (194 1/1)</t>
        </is>
      </c>
    </row>
    <row r="32">
      <c r="B32" s="0" t="inlineStr">
        <is>
          <t>CENTRO DE FORM.DE CONDUT. LEBL</t>
        </is>
      </c>
      <c r="C32" s="0" t="inlineStr">
        <is>
          <t>31/05/2025</t>
        </is>
      </c>
      <c r="D32" s="0" t="inlineStr">
        <is>
          <t>Caixa e equivalentes-caixa:Adibras</t>
        </is>
      </c>
      <c r="E32" s="0" t="inlineStr">
        <is>
          <t>Aluguel</t>
        </is>
      </c>
      <c r="F32" s="0" t="inlineStr">
        <is>
          <t>Aluguel  01/2025</t>
        </is>
      </c>
      <c r="G32" s="0" t="n">
        <v>935.28</v>
      </c>
      <c r="H32" s="0" t="n"/>
      <c r="I32" s="0" t="n">
        <v>935.28</v>
      </c>
      <c r="J32" s="0" t="inlineStr">
        <is>
          <t>Rua Do Acre N. 77 / Loja D (158 1/1)</t>
        </is>
      </c>
    </row>
    <row r="33">
      <c r="B33" s="0" t="inlineStr">
        <is>
          <t>DUNA GRILL BAR E RESTAURANTE L</t>
        </is>
      </c>
      <c r="C33" s="0" t="inlineStr">
        <is>
          <t>31/05/2025</t>
        </is>
      </c>
      <c r="D33" s="0" t="inlineStr">
        <is>
          <t>Caixa e equivalentes-caixa:Adibras</t>
        </is>
      </c>
      <c r="E33" s="0" t="inlineStr">
        <is>
          <t>Aluguel</t>
        </is>
      </c>
      <c r="F33" s="0" t="inlineStr">
        <is>
          <t>Aluguel  12/2024</t>
        </is>
      </c>
      <c r="G33" s="0" t="n">
        <v>17734.59</v>
      </c>
      <c r="H33" s="0" t="n"/>
      <c r="I33" s="0" t="n">
        <v>17734.59</v>
      </c>
      <c r="J33" s="0" t="inlineStr">
        <is>
          <t>Rua Evaristo Da Veiga N. 24 / Prédio (179 1/1)</t>
        </is>
      </c>
    </row>
    <row r="34">
      <c r="B34" s="0" t="n"/>
      <c r="C34" s="0" t="inlineStr">
        <is>
          <t>31/05/2025</t>
        </is>
      </c>
      <c r="D34" s="0" t="inlineStr">
        <is>
          <t>Caixa e equivalentes-caixa:Adibras</t>
        </is>
      </c>
      <c r="E34" s="0" t="inlineStr">
        <is>
          <t>Aluguel</t>
        </is>
      </c>
      <c r="F34" s="0" t="inlineStr">
        <is>
          <t>Aluguel  01/2025</t>
        </is>
      </c>
      <c r="G34" s="0" t="n">
        <v>3500</v>
      </c>
      <c r="H34" s="0" t="n"/>
      <c r="I34" s="0" t="n">
        <v>3500</v>
      </c>
      <c r="J34" s="0" t="inlineStr">
        <is>
          <t>Rua Sacadura Cabral N. 149 - Prédio (195 1/1)</t>
        </is>
      </c>
    </row>
    <row r="35">
      <c r="B35" s="0" t="inlineStr">
        <is>
          <t>MICHEL FALCAO ROSA E/OU</t>
        </is>
      </c>
      <c r="C35" s="0" t="inlineStr">
        <is>
          <t>31/05/2025</t>
        </is>
      </c>
      <c r="D35" s="0" t="inlineStr">
        <is>
          <t>Caixa e equivalentes-caixa:Adibras</t>
        </is>
      </c>
      <c r="E35" s="0" t="inlineStr">
        <is>
          <t>Aluguel</t>
        </is>
      </c>
      <c r="F35" s="0" t="inlineStr">
        <is>
          <t>Aluguel  12/2024</t>
        </is>
      </c>
      <c r="G35" s="0" t="n">
        <v>3857.53</v>
      </c>
      <c r="H35" s="0" t="n">
        <v>1502.49</v>
      </c>
      <c r="I35" s="0" t="n">
        <v>2355.04</v>
      </c>
      <c r="J35" s="0" t="inlineStr">
        <is>
          <t>Rua Da Alfândega N. 97 / Loja (187 1/2)</t>
        </is>
      </c>
    </row>
    <row r="36">
      <c r="B36" s="0" t="inlineStr">
        <is>
          <t>CARLOS FERNANDES DUARTE</t>
        </is>
      </c>
      <c r="C36" s="0" t="inlineStr">
        <is>
          <t>31/05/2025</t>
        </is>
      </c>
      <c r="D36" s="0" t="inlineStr">
        <is>
          <t>Caixa e equivalentes-caixa:Adibras</t>
        </is>
      </c>
      <c r="E36" s="0" t="inlineStr">
        <is>
          <t>Aluguel</t>
        </is>
      </c>
      <c r="F36" s="0" t="inlineStr">
        <is>
          <t>Aluguel  01/2025</t>
        </is>
      </c>
      <c r="G36" s="0" t="n">
        <v>714.1</v>
      </c>
      <c r="H36" s="0" t="n"/>
      <c r="I36" s="0" t="n">
        <v>714.1</v>
      </c>
      <c r="J36" s="0" t="inlineStr">
        <is>
          <t>Rua Miguel Couto N. 143 / 1º Andar (121 2/3)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41" customWidth="1" style="30" min="1" max="1"/>
    <col width="53" customWidth="1" style="30" min="2" max="2"/>
    <col width="24" customWidth="1" style="30" min="3" max="3"/>
    <col width="60" customWidth="1" style="30" min="4" max="4"/>
    <col width="54" customWidth="1" style="30" min="5" max="5"/>
    <col width="14" customWidth="1" style="30" min="6" max="6"/>
    <col width="84" customWidth="1" style="30" min="7" max="7"/>
    <col width="22" customWidth="1" style="30" min="8" max="8"/>
  </cols>
  <sheetData>
    <row r="1">
      <c r="A1" s="0" t="inlineStr">
        <is>
          <t>Conta</t>
        </is>
      </c>
      <c r="B1" s="0" t="inlineStr">
        <is>
          <t>Beneficiário</t>
        </is>
      </c>
      <c r="C1" s="0" t="inlineStr">
        <is>
          <t>Data do pagamento</t>
        </is>
      </c>
      <c r="D1" s="0" t="inlineStr">
        <is>
          <t>Categoria</t>
        </is>
      </c>
      <c r="E1" s="0" t="inlineStr">
        <is>
          <t>Descrição</t>
        </is>
      </c>
      <c r="F1" s="0" t="inlineStr">
        <is>
          <t>Valor</t>
        </is>
      </c>
      <c r="G1" s="0" t="inlineStr">
        <is>
          <t>Local</t>
        </is>
      </c>
      <c r="H1" s="0" t="inlineStr">
        <is>
          <t>Centro de Custo</t>
        </is>
      </c>
    </row>
    <row r="2">
      <c r="A2" s="0" t="inlineStr">
        <is>
          <t>Caixa e equivalentes-caixa:Adibras</t>
        </is>
      </c>
      <c r="B2" s="0" t="inlineStr">
        <is>
          <t>Adibras Administradora Brasileira de bens LTDA</t>
        </is>
      </c>
      <c r="C2" s="0" t="inlineStr">
        <is>
          <t>02/05/2025</t>
        </is>
      </c>
      <c r="D2" s="0" t="inlineStr">
        <is>
          <t>Custos com imóveis próprios:Manutenção e Condomínio</t>
        </is>
      </c>
      <c r="E2" s="0" t="inlineStr">
        <is>
          <t>Agua e Esgoto (30%) 10/2024</t>
        </is>
      </c>
      <c r="F2" s="0" t="n">
        <v>1514.67</v>
      </c>
      <c r="G2" s="0" t="inlineStr">
        <is>
          <t>Rua Pedro I N. 14 / Sobrado (171 2/2)</t>
        </is>
      </c>
      <c r="H2" s="0" t="inlineStr">
        <is>
          <t>Água e Esgoto</t>
        </is>
      </c>
    </row>
    <row r="3">
      <c r="A3" s="0" t="inlineStr">
        <is>
          <t>Caixa e equivalentes-caixa:Adibras</t>
        </is>
      </c>
      <c r="B3" s="0" t="inlineStr">
        <is>
          <t>Adibras Administradora Brasileira de bens LTDA</t>
        </is>
      </c>
      <c r="C3" s="0" t="inlineStr">
        <is>
          <t>02/05/2025</t>
        </is>
      </c>
      <c r="D3" s="0" t="inlineStr">
        <is>
          <t>Custos com imóveis próprios:Manutenção e Condomínio</t>
        </is>
      </c>
      <c r="E3" s="0" t="inlineStr">
        <is>
          <t>Agua e Esgoto  11/2024</t>
        </is>
      </c>
      <c r="F3" s="0" t="n">
        <v>855.76</v>
      </c>
      <c r="G3" s="0" t="inlineStr">
        <is>
          <t>Travessa do Ouvidor N. 17 / Loja 17-A</t>
        </is>
      </c>
      <c r="H3" s="0" t="inlineStr">
        <is>
          <t>Água e Esgoto</t>
        </is>
      </c>
    </row>
    <row r="4">
      <c r="A4" s="0" t="inlineStr">
        <is>
          <t>Caixa e equivalentes-caixa:Adibras</t>
        </is>
      </c>
      <c r="B4" s="0" t="inlineStr">
        <is>
          <t>Adibras Administradora Brasileira de bens LTDA</t>
        </is>
      </c>
      <c r="C4" s="0" t="inlineStr">
        <is>
          <t>02/05/2025</t>
        </is>
      </c>
      <c r="D4" s="0" t="inlineStr">
        <is>
          <t>Custos com imóveis próprios:Manutenção e Condomínio</t>
        </is>
      </c>
      <c r="E4" s="0" t="inlineStr">
        <is>
          <t>Agua e Esgoto  11/2024</t>
        </is>
      </c>
      <c r="F4" s="0" t="n">
        <v>438.62</v>
      </c>
      <c r="G4" s="0" t="inlineStr">
        <is>
          <t>Rua Sacadura Cabral N. 151 / Loja (196 1/2)</t>
        </is>
      </c>
      <c r="H4" s="0" t="inlineStr">
        <is>
          <t>Água e Esgoto</t>
        </is>
      </c>
    </row>
    <row r="5">
      <c r="A5" s="0" t="inlineStr">
        <is>
          <t>Caixa e equivalentes-caixa:Adibras</t>
        </is>
      </c>
      <c r="B5" s="0" t="inlineStr">
        <is>
          <t>Adibras Administradora Brasileira de bens LTDA</t>
        </is>
      </c>
      <c r="C5" s="0" t="inlineStr">
        <is>
          <t>02/05/2025</t>
        </is>
      </c>
      <c r="D5" s="0" t="inlineStr">
        <is>
          <t>Custos com imóveis próprios:Manutenção e Condomínio</t>
        </is>
      </c>
      <c r="E5" s="0" t="inlineStr">
        <is>
          <t>Agua e Esgoto  11/2024</t>
        </is>
      </c>
      <c r="F5" s="0" t="n">
        <v>438.62</v>
      </c>
      <c r="G5" s="0" t="inlineStr">
        <is>
          <t>Rua Sacadura Cabral N. 151</t>
        </is>
      </c>
      <c r="H5" s="0" t="inlineStr">
        <is>
          <t>Água e Esgoto</t>
        </is>
      </c>
    </row>
    <row r="6">
      <c r="A6" s="0" t="inlineStr">
        <is>
          <t>Caixa e equivalentes-caixa:Adibras</t>
        </is>
      </c>
      <c r="B6" s="0" t="inlineStr">
        <is>
          <t>Adibras Administradora Brasileira de bens LTDA</t>
        </is>
      </c>
      <c r="C6" s="0" t="inlineStr">
        <is>
          <t>02/05/2025</t>
        </is>
      </c>
      <c r="D6" s="0" t="inlineStr">
        <is>
          <t>Custos com imóveis próprios:Manutenção e Condomínio</t>
        </is>
      </c>
      <c r="E6" s="0" t="inlineStr">
        <is>
          <t>Agua e Esgoto  10/2024</t>
        </is>
      </c>
      <c r="F6" s="0" t="n">
        <v>231.06</v>
      </c>
      <c r="G6" s="0" t="inlineStr">
        <is>
          <t>Rua São Francisco Xavier N. 194 Sobrado E 196 Sobrado (132 3/5)</t>
        </is>
      </c>
      <c r="H6" s="0" t="inlineStr">
        <is>
          <t>Água e Esgoto</t>
        </is>
      </c>
    </row>
    <row r="7">
      <c r="A7" s="0" t="inlineStr">
        <is>
          <t>Caixa e equivalentes-caixa:Adibras</t>
        </is>
      </c>
      <c r="B7" s="0" t="inlineStr">
        <is>
          <t>Adibras Administradora Brasileira de bens LTDA</t>
        </is>
      </c>
      <c r="C7" s="0" t="inlineStr">
        <is>
          <t>02/05/2025</t>
        </is>
      </c>
      <c r="D7" s="0" t="inlineStr">
        <is>
          <t>Custos com imóveis próprios:Manutenção e Condomínio</t>
        </is>
      </c>
      <c r="E7" s="0" t="inlineStr">
        <is>
          <t>Agua e Esgoto 30% 10/2024</t>
        </is>
      </c>
      <c r="F7" s="0" t="n">
        <v>219.31</v>
      </c>
      <c r="G7" s="0" t="inlineStr">
        <is>
          <t>Rua Da Alfândega N. 97 / 1º E 2º Pavimentos (187 2/2)</t>
        </is>
      </c>
      <c r="H7" s="0" t="inlineStr">
        <is>
          <t>Água e Esgoto</t>
        </is>
      </c>
    </row>
    <row r="8">
      <c r="A8" s="0" t="inlineStr">
        <is>
          <t>Caixa e equivalentes-caixa:Adibras</t>
        </is>
      </c>
      <c r="B8" s="0" t="inlineStr">
        <is>
          <t>Adibras Administradora Brasileira de bens LTDA</t>
        </is>
      </c>
      <c r="C8" s="0" t="inlineStr">
        <is>
          <t>02/05/2025</t>
        </is>
      </c>
      <c r="D8" s="0" t="inlineStr">
        <is>
          <t>Custos com imóveis próprios:Manutenção e Condomínio</t>
        </is>
      </c>
      <c r="E8" s="0" t="inlineStr">
        <is>
          <t>Diversos Alarme 12/2024</t>
        </is>
      </c>
      <c r="F8" s="0" t="n">
        <v>125.23</v>
      </c>
      <c r="G8" s="0" t="inlineStr">
        <is>
          <t>Rua Da Quitanda N. 161  /  Loja  A (156 1/3)</t>
        </is>
      </c>
      <c r="H8" s="0" t="inlineStr">
        <is>
          <t>Manutenção</t>
        </is>
      </c>
    </row>
    <row r="9">
      <c r="A9" s="0" t="inlineStr">
        <is>
          <t>Caixa e equivalentes-caixa:Adibras</t>
        </is>
      </c>
      <c r="B9" s="0" t="inlineStr">
        <is>
          <t>Adibras Administradora Brasileira de bens LTDA</t>
        </is>
      </c>
      <c r="C9" s="0" t="inlineStr">
        <is>
          <t>02/05/2025</t>
        </is>
      </c>
      <c r="D9" s="0" t="inlineStr">
        <is>
          <t>Custos com imóveis próprios:Manutenção e Condomínio</t>
        </is>
      </c>
      <c r="E9" s="0" t="inlineStr">
        <is>
          <t>Seguro C/Fogo Ref.2024/2025 04/0006</t>
        </is>
      </c>
      <c r="F9" s="0" t="n">
        <v>18.15</v>
      </c>
      <c r="G9" s="0" t="inlineStr">
        <is>
          <t>Rua Do Rosário N. 112 / 4º Andar (178 5/9)</t>
        </is>
      </c>
      <c r="H9" s="0" t="inlineStr">
        <is>
          <t>Seguro</t>
        </is>
      </c>
    </row>
    <row r="10">
      <c r="A10" s="0" t="inlineStr">
        <is>
          <t>Caixa e equivalentes-caixa:Adibras</t>
        </is>
      </c>
      <c r="B10" s="0" t="inlineStr">
        <is>
          <t>Adibras Administradora Brasileira de bens LTDA</t>
        </is>
      </c>
      <c r="C10" s="0" t="inlineStr">
        <is>
          <t>02/05/2025</t>
        </is>
      </c>
      <c r="D10" s="0" t="inlineStr">
        <is>
          <t>Custos com imóveis próprios:Manutenção e Condomínio</t>
        </is>
      </c>
      <c r="E10" s="0" t="inlineStr">
        <is>
          <t>Seguro C/Fogo Ref.2024/2025 04/0006</t>
        </is>
      </c>
      <c r="F10" s="0" t="n">
        <v>18.15</v>
      </c>
      <c r="G10" s="0" t="inlineStr">
        <is>
          <t>Rua Do Rosário N. 112 / 5º Andar (178 6/9)</t>
        </is>
      </c>
      <c r="H10" s="0" t="inlineStr">
        <is>
          <t>Seguro</t>
        </is>
      </c>
    </row>
    <row r="11">
      <c r="A11" s="0" t="inlineStr">
        <is>
          <t>Caixa e equivalentes-caixa:Adibras</t>
        </is>
      </c>
      <c r="B11" s="0" t="inlineStr">
        <is>
          <t>Adibras Administradora Brasileira de bens LTDA</t>
        </is>
      </c>
      <c r="C11" s="0" t="inlineStr">
        <is>
          <t>02/05/2025</t>
        </is>
      </c>
      <c r="D11" s="0" t="inlineStr">
        <is>
          <t>Custos com imóveis próprios:Manutenção e Condomínio</t>
        </is>
      </c>
      <c r="E11" s="0" t="inlineStr">
        <is>
          <t>Seguro C/Fogo Ref.2024/2025 04/0006</t>
        </is>
      </c>
      <c r="F11" s="0" t="n">
        <v>18.15</v>
      </c>
      <c r="G11" s="0" t="inlineStr">
        <is>
          <t>Rua Do Rosário N. 112 / 6º Andar (178 7/9)</t>
        </is>
      </c>
      <c r="H11" s="0" t="inlineStr">
        <is>
          <t>Seguro</t>
        </is>
      </c>
    </row>
    <row r="12">
      <c r="A12" s="0" t="inlineStr">
        <is>
          <t>Caixa e equivalentes-caixa:Adibras</t>
        </is>
      </c>
      <c r="B12" s="0" t="inlineStr">
        <is>
          <t>Adibras Administradora Brasileira de bens LTDA</t>
        </is>
      </c>
      <c r="C12" s="0" t="inlineStr">
        <is>
          <t>02/05/2025</t>
        </is>
      </c>
      <c r="D12" s="0" t="inlineStr">
        <is>
          <t>Custos com imóveis próprios:Manutenção e Condomínio</t>
        </is>
      </c>
      <c r="E12" s="0" t="inlineStr">
        <is>
          <t>Seguro C/Fogo Ref.2024/2025 04/0006</t>
        </is>
      </c>
      <c r="F12" s="0" t="n">
        <v>18.15</v>
      </c>
      <c r="G12" s="0" t="inlineStr">
        <is>
          <t>Rua Do Rosário N. 112 / 8º Andar  /  Sala 801 (178 9.1/9)</t>
        </is>
      </c>
      <c r="H12" s="0" t="inlineStr">
        <is>
          <t>Seguro</t>
        </is>
      </c>
    </row>
    <row r="13">
      <c r="A13" s="0" t="inlineStr">
        <is>
          <t>Caixa e equivalentes-caixa:Adibras</t>
        </is>
      </c>
      <c r="B13" s="0" t="inlineStr">
        <is>
          <t>Adibras Administradora Brasileira de bens LTDA</t>
        </is>
      </c>
      <c r="C13" s="0" t="inlineStr">
        <is>
          <t>02/05/2025</t>
        </is>
      </c>
      <c r="D13" s="0" t="inlineStr">
        <is>
          <t>Custos com imóveis próprios:Manutenção e Condomínio</t>
        </is>
      </c>
      <c r="E13" s="0" t="inlineStr">
        <is>
          <t>Seguro C/Fogo Ref.2024/2025 02/0004</t>
        </is>
      </c>
      <c r="F13" s="0" t="n">
        <v>81.72</v>
      </c>
      <c r="G13" s="0" t="inlineStr">
        <is>
          <t>Rua Sacadura Cabral N. 151 / Loja (196 1/2)</t>
        </is>
      </c>
      <c r="H13" s="0" t="inlineStr">
        <is>
          <t>Seguro</t>
        </is>
      </c>
    </row>
    <row r="14">
      <c r="A14" s="0" t="inlineStr">
        <is>
          <t>Caixa e equivalentes-caixa:Adibras</t>
        </is>
      </c>
      <c r="B14" s="0" t="inlineStr">
        <is>
          <t>Adibras Administradora Brasileira de bens LTDA</t>
        </is>
      </c>
      <c r="C14" s="0" t="inlineStr">
        <is>
          <t>02/05/2025</t>
        </is>
      </c>
      <c r="D14" s="0" t="inlineStr">
        <is>
          <t>Custos com imóveis próprios:Manutenção e Condomínio</t>
        </is>
      </c>
      <c r="E14" s="0" t="inlineStr">
        <is>
          <t>Seguro C/Fogo Ref.2024/2025 02/0004</t>
        </is>
      </c>
      <c r="F14" s="0" t="n">
        <v>68.98999999999999</v>
      </c>
      <c r="G14" s="0" t="inlineStr">
        <is>
          <t>Rua Sacadura Cabral N. 151</t>
        </is>
      </c>
      <c r="H14" s="0" t="inlineStr">
        <is>
          <t>Seguro</t>
        </is>
      </c>
    </row>
    <row r="15">
      <c r="A15" s="0" t="inlineStr">
        <is>
          <t>Caixa e equivalentes-caixa:Adibras</t>
        </is>
      </c>
      <c r="B15" s="0" t="inlineStr">
        <is>
          <t>Adibras Administradora Brasileira de bens LTDA</t>
        </is>
      </c>
      <c r="C15" s="0" t="inlineStr">
        <is>
          <t>03/05/2025</t>
        </is>
      </c>
      <c r="D15" s="0" t="inlineStr">
        <is>
          <t>Custos com imóveis próprios:Administração dos imóveis</t>
        </is>
      </c>
      <c r="E15" s="0" t="inlineStr">
        <is>
          <t>Comissao  12/2024</t>
        </is>
      </c>
      <c r="F15" s="0" t="n">
        <v>229.81</v>
      </c>
      <c r="G15" s="0" t="inlineStr">
        <is>
          <t>R DAS MARRECAS,29 LOJA  A</t>
        </is>
      </c>
      <c r="H15" s="0" t="inlineStr">
        <is>
          <t>Comissão</t>
        </is>
      </c>
    </row>
    <row r="16">
      <c r="A16" s="0" t="inlineStr">
        <is>
          <t>Caixa e equivalentes-caixa:Adibras</t>
        </is>
      </c>
      <c r="B16" s="0" t="inlineStr">
        <is>
          <t>Adibras Administradora Brasileira de bens LTDA</t>
        </is>
      </c>
      <c r="C16" s="0" t="inlineStr">
        <is>
          <t>03/05/2025</t>
        </is>
      </c>
      <c r="D16" s="0" t="inlineStr">
        <is>
          <t>Custos com imóveis próprios:Administração dos imóveis</t>
        </is>
      </c>
      <c r="E16" s="0" t="inlineStr">
        <is>
          <t>Comissao  12/2024</t>
        </is>
      </c>
      <c r="F16" s="0" t="n">
        <v>141.71</v>
      </c>
      <c r="G16" s="0" t="inlineStr">
        <is>
          <t>R MIGUEL COUTO, 143 LJA</t>
        </is>
      </c>
      <c r="H16" s="0" t="inlineStr">
        <is>
          <t>Comissão</t>
        </is>
      </c>
    </row>
    <row r="17">
      <c r="A17" s="0" t="inlineStr">
        <is>
          <t>Caixa e equivalentes-caixa:Adibras</t>
        </is>
      </c>
      <c r="B17" s="0" t="inlineStr">
        <is>
          <t>Adibras Administradora Brasileira de bens LTDA</t>
        </is>
      </c>
      <c r="C17" s="0" t="inlineStr">
        <is>
          <t>03/05/2025</t>
        </is>
      </c>
      <c r="D17" s="0" t="inlineStr">
        <is>
          <t>Custos com imóveis próprios:Administração dos imóveis</t>
        </is>
      </c>
      <c r="E17" s="0" t="inlineStr">
        <is>
          <t>Comissao  12/2024</t>
        </is>
      </c>
      <c r="F17" s="0" t="n">
        <v>441</v>
      </c>
      <c r="G17" s="0" t="inlineStr">
        <is>
          <t>Rua Dr. Paulo Fróes Machado N. 95 - Loja - Nova Iguaçu (193 1/1)</t>
        </is>
      </c>
      <c r="H17" s="0" t="inlineStr">
        <is>
          <t>Comissão</t>
        </is>
      </c>
    </row>
    <row r="18">
      <c r="A18" s="0" t="inlineStr">
        <is>
          <t>Caixa e equivalentes-caixa:Adibras</t>
        </is>
      </c>
      <c r="B18" s="0" t="inlineStr">
        <is>
          <t>Adibras Administradora Brasileira de bens LTDA</t>
        </is>
      </c>
      <c r="C18" s="0" t="inlineStr">
        <is>
          <t>03/05/2025</t>
        </is>
      </c>
      <c r="D18" s="0" t="inlineStr">
        <is>
          <t>Custos com imóveis próprios:Administração dos imóveis</t>
        </is>
      </c>
      <c r="E18" s="0" t="inlineStr">
        <is>
          <t>Comissao  12/2024</t>
        </is>
      </c>
      <c r="F18" s="0" t="n">
        <v>68.73999999999999</v>
      </c>
      <c r="G18" s="0" t="inlineStr">
        <is>
          <t>Rua Do Acre N. 77 / Loja D (158 1/1)</t>
        </is>
      </c>
      <c r="H18" s="0" t="inlineStr">
        <is>
          <t>Comissão</t>
        </is>
      </c>
    </row>
    <row r="19">
      <c r="A19" s="0" t="inlineStr">
        <is>
          <t>Caixa e equivalentes-caixa:Adibras</t>
        </is>
      </c>
      <c r="B19" s="0" t="inlineStr">
        <is>
          <t>Adibras Administradora Brasileira de bens LTDA</t>
        </is>
      </c>
      <c r="C19" s="0" t="inlineStr">
        <is>
          <t>03/05/2025</t>
        </is>
      </c>
      <c r="D19" s="0" t="inlineStr">
        <is>
          <t>Custos com imóveis próprios:Administração dos imóveis</t>
        </is>
      </c>
      <c r="E19" s="0" t="inlineStr">
        <is>
          <t>Comissao  11/2025</t>
        </is>
      </c>
      <c r="F19" s="0" t="n">
        <v>1055.03</v>
      </c>
      <c r="G19" s="0" t="inlineStr">
        <is>
          <t>Rua Evaristo Da Veiga N. 24 / Prédio (179 1/1)</t>
        </is>
      </c>
      <c r="H19" s="0" t="inlineStr">
        <is>
          <t>Comissão</t>
        </is>
      </c>
    </row>
    <row r="20">
      <c r="A20" s="0" t="inlineStr">
        <is>
          <t>Caixa e equivalentes-caixa:Adibras</t>
        </is>
      </c>
      <c r="B20" s="0" t="inlineStr">
        <is>
          <t>Adibras Administradora Brasileira de bens LTDA</t>
        </is>
      </c>
      <c r="C20" s="0" t="inlineStr">
        <is>
          <t>03/05/2025</t>
        </is>
      </c>
      <c r="D20" s="0" t="inlineStr">
        <is>
          <t>Custos com imóveis próprios:Administração dos imóveis</t>
        </is>
      </c>
      <c r="E20" s="0" t="inlineStr">
        <is>
          <t>Comissao  12/2024</t>
        </is>
      </c>
      <c r="F20" s="0" t="n">
        <v>257.25</v>
      </c>
      <c r="G20" s="0" t="inlineStr">
        <is>
          <t>Rua Sacadura Cabral N. 149 - Prédio (195 1/1)</t>
        </is>
      </c>
      <c r="H20" s="0" t="inlineStr">
        <is>
          <t>Comissão</t>
        </is>
      </c>
    </row>
    <row r="21">
      <c r="A21" s="0" t="inlineStr">
        <is>
          <t>Caixa e equivalentes-caixa:Adibras</t>
        </is>
      </c>
      <c r="B21" s="0" t="inlineStr">
        <is>
          <t>Adibras Administradora Brasileira de bens LTDA</t>
        </is>
      </c>
      <c r="C21" s="0" t="inlineStr">
        <is>
          <t>03/05/2025</t>
        </is>
      </c>
      <c r="D21" s="0" t="inlineStr">
        <is>
          <t>Custos com imóveis próprios:Administração dos imóveis</t>
        </is>
      </c>
      <c r="E21" s="0" t="inlineStr">
        <is>
          <t>Comissao  12/2024</t>
        </is>
      </c>
      <c r="F21" s="0" t="n">
        <v>38.45</v>
      </c>
      <c r="G21" s="0" t="inlineStr">
        <is>
          <t>R SANTOS TITARA,159/101 FTE</t>
        </is>
      </c>
      <c r="H21" s="0" t="inlineStr">
        <is>
          <t>Comissão</t>
        </is>
      </c>
    </row>
    <row r="22">
      <c r="A22" s="0" t="inlineStr">
        <is>
          <t>Caixa e equivalentes-caixa:Adibras</t>
        </is>
      </c>
      <c r="B22" s="0" t="inlineStr">
        <is>
          <t>Adibras Administradora Brasileira de bens LTDA</t>
        </is>
      </c>
      <c r="C22" s="0" t="inlineStr">
        <is>
          <t>03/05/2025</t>
        </is>
      </c>
      <c r="D22" s="0" t="inlineStr">
        <is>
          <t>Custos com imóveis próprios:Administração dos imóveis</t>
        </is>
      </c>
      <c r="E22" s="0" t="inlineStr">
        <is>
          <t>Comissao  12/2024</t>
        </is>
      </c>
      <c r="F22" s="0" t="n">
        <v>53.43</v>
      </c>
      <c r="G22" s="0" t="inlineStr">
        <is>
          <t>Rua Miguel Couto N. 143 / 2º Andar (121 3/3)</t>
        </is>
      </c>
      <c r="H22" s="0" t="inlineStr">
        <is>
          <t>Comissão</t>
        </is>
      </c>
    </row>
    <row r="23">
      <c r="A23" s="0" t="inlineStr">
        <is>
          <t>Caixa e equivalentes-caixa:Adibras</t>
        </is>
      </c>
      <c r="B23" s="0" t="inlineStr">
        <is>
          <t>Adibras Administradora Brasileira de bens LTDA</t>
        </is>
      </c>
      <c r="C23" s="0" t="inlineStr">
        <is>
          <t>03/05/2025</t>
        </is>
      </c>
      <c r="D23" s="0" t="inlineStr">
        <is>
          <t>Custos com imóveis próprios:Manutenção e Condomínio</t>
        </is>
      </c>
      <c r="E23" s="0" t="inlineStr">
        <is>
          <t>Condominio  12/2024</t>
        </is>
      </c>
      <c r="F23" s="0" t="n">
        <v>2647.97</v>
      </c>
      <c r="G23" s="0" t="inlineStr">
        <is>
          <t>Rua Da Quitanda N. 191 / Loja A (201 1/1)</t>
        </is>
      </c>
      <c r="H23" s="0" t="inlineStr">
        <is>
          <t>Condomínio</t>
        </is>
      </c>
    </row>
    <row r="24">
      <c r="A24" s="0" t="inlineStr">
        <is>
          <t>Caixa e equivalentes-caixa:Adibras</t>
        </is>
      </c>
      <c r="B24" s="0" t="inlineStr">
        <is>
          <t>Adibras Administradora Brasileira de bens LTDA</t>
        </is>
      </c>
      <c r="C24" s="0" t="inlineStr">
        <is>
          <t>03/05/2025</t>
        </is>
      </c>
      <c r="D24" s="0" t="inlineStr">
        <is>
          <t>Custos com imóveis próprios:Manutenção e Condomínio</t>
        </is>
      </c>
      <c r="E24" s="0" t="inlineStr">
        <is>
          <t>Condominio  01/2025</t>
        </is>
      </c>
      <c r="F24" s="0" t="n">
        <v>602.42</v>
      </c>
      <c r="G24" s="0" t="inlineStr">
        <is>
          <t>Rua Sete De Setembro N. 92 / Loja 112 (137 1/1)</t>
        </is>
      </c>
      <c r="H24" s="0" t="inlineStr">
        <is>
          <t>Condomínio</t>
        </is>
      </c>
    </row>
    <row r="25">
      <c r="A25" s="0" t="inlineStr">
        <is>
          <t>Caixa e equivalentes-caixa:Adibras</t>
        </is>
      </c>
      <c r="B25" s="0" t="inlineStr">
        <is>
          <t>Adibras Administradora Brasileira de bens LTDA</t>
        </is>
      </c>
      <c r="C25" s="0" t="inlineStr">
        <is>
          <t>03/05/2025</t>
        </is>
      </c>
      <c r="D25" s="0" t="inlineStr">
        <is>
          <t>Custos com imóveis próprios:Administração dos imóveis</t>
        </is>
      </c>
      <c r="E25" s="0" t="inlineStr">
        <is>
          <t>Comissao  12/2024</t>
        </is>
      </c>
      <c r="F25" s="0" t="n">
        <v>64.31</v>
      </c>
      <c r="G25" s="0" t="inlineStr">
        <is>
          <t>Rua Capitão Felix N. 110 / Loja 18 Rua 11 Blc P Pav 02 (138 1/1)</t>
        </is>
      </c>
      <c r="H25" s="0" t="inlineStr">
        <is>
          <t>Comissão</t>
        </is>
      </c>
    </row>
    <row r="26">
      <c r="A26" s="0" t="inlineStr">
        <is>
          <t>Caixa e equivalentes-caixa:Adibras</t>
        </is>
      </c>
      <c r="B26" s="0" t="inlineStr">
        <is>
          <t>Adibras Administradora Brasileira de bens LTDA</t>
        </is>
      </c>
      <c r="C26" s="0" t="inlineStr">
        <is>
          <t>03/05/2025</t>
        </is>
      </c>
      <c r="D26" s="0" t="inlineStr">
        <is>
          <t>Custos com imóveis próprios:Manutenção e Condomínio</t>
        </is>
      </c>
      <c r="E26" s="0" t="inlineStr">
        <is>
          <t>Obras Terraço 06/0012</t>
        </is>
      </c>
      <c r="F26" s="0" t="n">
        <v>52.12</v>
      </c>
      <c r="G26" s="0" t="inlineStr">
        <is>
          <t>Av. Princesa Isabel N. 300 / Loja B Do Bloco A (128 1/1)</t>
        </is>
      </c>
      <c r="H26" s="0" t="inlineStr">
        <is>
          <t>Manutenção</t>
        </is>
      </c>
    </row>
    <row r="27">
      <c r="A27" s="0" t="inlineStr">
        <is>
          <t>Caixa e equivalentes-caixa:Adibras</t>
        </is>
      </c>
      <c r="B27" s="0" t="inlineStr">
        <is>
          <t>Adibras Administradora Brasileira de bens LTDA</t>
        </is>
      </c>
      <c r="C27" s="0" t="inlineStr">
        <is>
          <t>03/05/2025</t>
        </is>
      </c>
      <c r="D27" s="0" t="inlineStr">
        <is>
          <t>Custos com imóveis próprios:Manutenção e Condomínio</t>
        </is>
      </c>
      <c r="E27" s="0" t="inlineStr">
        <is>
          <t>Obras Terraço e tubulação 04/0006</t>
        </is>
      </c>
      <c r="F27" s="0" t="n">
        <v>21.3</v>
      </c>
      <c r="G27" s="0" t="inlineStr">
        <is>
          <t>Av. Princesa Isabel N. 300 / Loja B Do Bloco A (128 1/1)</t>
        </is>
      </c>
      <c r="H27" s="0" t="inlineStr">
        <is>
          <t>Manutenção</t>
        </is>
      </c>
    </row>
    <row r="28">
      <c r="A28" s="0" t="inlineStr">
        <is>
          <t>Caixa e equivalentes-caixa:Adibras</t>
        </is>
      </c>
      <c r="B28" s="0" t="inlineStr">
        <is>
          <t>Adibras Administradora Brasileira de bens LTDA</t>
        </is>
      </c>
      <c r="C28" s="0" t="inlineStr">
        <is>
          <t>03/05/2025</t>
        </is>
      </c>
      <c r="D28" s="0" t="inlineStr">
        <is>
          <t>Custos com imóveis próprios:Manutenção e Condomínio</t>
        </is>
      </c>
      <c r="E28" s="0" t="inlineStr">
        <is>
          <t>Obras Troca Tubulação 04/0004</t>
        </is>
      </c>
      <c r="F28" s="0" t="n">
        <v>24.82</v>
      </c>
      <c r="G28" s="0" t="inlineStr">
        <is>
          <t>Av. Princesa Isabel N. 300 / Loja B Do Bloco A (128 1/1)</t>
        </is>
      </c>
      <c r="H28" s="0" t="inlineStr">
        <is>
          <t>Manutenção</t>
        </is>
      </c>
    </row>
    <row r="29">
      <c r="A29" s="0" t="inlineStr">
        <is>
          <t>Caixa e equivalentes-caixa:Adibras</t>
        </is>
      </c>
      <c r="B29" s="0" t="inlineStr">
        <is>
          <t>Adibras Administradora Brasileira de bens LTDA</t>
        </is>
      </c>
      <c r="C29" s="0" t="inlineStr">
        <is>
          <t>06/05/2025</t>
        </is>
      </c>
      <c r="D29" s="0" t="inlineStr">
        <is>
          <t>Custos com imóveis próprios:Administração dos imóveis</t>
        </is>
      </c>
      <c r="E29" s="0" t="inlineStr">
        <is>
          <t>Comissao  12/2024</t>
        </is>
      </c>
      <c r="F29" s="0" t="n">
        <v>81.88</v>
      </c>
      <c r="G29" s="0" t="inlineStr">
        <is>
          <t>Rua Do Rosário N. 112 / 2º Andar (178 3/9)</t>
        </is>
      </c>
      <c r="H29" s="0" t="inlineStr">
        <is>
          <t>Comissão</t>
        </is>
      </c>
    </row>
    <row r="30">
      <c r="A30" s="0" t="inlineStr">
        <is>
          <t>Caixa e equivalentes-caixa:Adibras</t>
        </is>
      </c>
      <c r="B30" s="0" t="inlineStr">
        <is>
          <t>Adibras Administradora Brasileira de bens LTDA</t>
        </is>
      </c>
      <c r="C30" s="0" t="inlineStr">
        <is>
          <t>06/05/2025</t>
        </is>
      </c>
      <c r="D30" s="0" t="inlineStr">
        <is>
          <t>Custos com imóveis próprios:Administração dos imóveis</t>
        </is>
      </c>
      <c r="E30" s="0" t="inlineStr">
        <is>
          <t>Tx. Expediente  01/2025</t>
        </is>
      </c>
      <c r="F30" s="0" t="n">
        <v>5.02</v>
      </c>
      <c r="G30" s="0" t="inlineStr">
        <is>
          <t>R DAS MARRECAS,29 LOJA  A</t>
        </is>
      </c>
      <c r="H30" s="0" t="inlineStr">
        <is>
          <t>Tx. Expediente</t>
        </is>
      </c>
    </row>
    <row r="31">
      <c r="A31" s="0" t="inlineStr">
        <is>
          <t>Caixa e equivalentes-caixa:Adibras</t>
        </is>
      </c>
      <c r="B31" s="0" t="inlineStr">
        <is>
          <t>Adibras Administradora Brasileira de bens LTDA</t>
        </is>
      </c>
      <c r="C31" s="0" t="inlineStr">
        <is>
          <t>06/05/2025</t>
        </is>
      </c>
      <c r="D31" s="0" t="inlineStr">
        <is>
          <t>Custos com imóveis próprios:Administração dos imóveis</t>
        </is>
      </c>
      <c r="E31" s="0" t="inlineStr">
        <is>
          <t>Tx. Expediente  01/2025</t>
        </is>
      </c>
      <c r="F31" s="0" t="n">
        <v>10.03</v>
      </c>
      <c r="G31" s="0" t="inlineStr">
        <is>
          <t>R DO ACRE,65 S/LJA</t>
        </is>
      </c>
      <c r="H31" s="0" t="inlineStr">
        <is>
          <t>Tx. Expediente</t>
        </is>
      </c>
    </row>
    <row r="32">
      <c r="A32" s="0" t="inlineStr">
        <is>
          <t>Caixa e equivalentes-caixa:Adibras</t>
        </is>
      </c>
      <c r="B32" s="0" t="inlineStr">
        <is>
          <t>Adibras Administradora Brasileira de bens LTDA</t>
        </is>
      </c>
      <c r="C32" s="0" t="inlineStr">
        <is>
          <t>06/05/2025</t>
        </is>
      </c>
      <c r="D32" s="0" t="inlineStr">
        <is>
          <t>Custos com imóveis próprios:Administração dos imóveis</t>
        </is>
      </c>
      <c r="E32" s="0" t="inlineStr">
        <is>
          <t>Tx. Expediente  01/2025</t>
        </is>
      </c>
      <c r="F32" s="0" t="n">
        <v>5.64</v>
      </c>
      <c r="G32" s="0" t="inlineStr">
        <is>
          <t>R VISCONDE DE INHAUMA,62 2ºe3ºANDARES</t>
        </is>
      </c>
      <c r="H32" s="0" t="inlineStr">
        <is>
          <t>Tx. Expediente</t>
        </is>
      </c>
    </row>
    <row r="33">
      <c r="A33" s="0" t="inlineStr">
        <is>
          <t>Caixa e equivalentes-caixa:Adibras</t>
        </is>
      </c>
      <c r="B33" s="0" t="inlineStr">
        <is>
          <t>Adibras Administradora Brasileira de bens LTDA</t>
        </is>
      </c>
      <c r="C33" s="0" t="inlineStr">
        <is>
          <t>06/05/2025</t>
        </is>
      </c>
      <c r="D33" s="0" t="inlineStr">
        <is>
          <t>Custos com imóveis próprios:Administração dos imóveis</t>
        </is>
      </c>
      <c r="E33" s="0" t="inlineStr">
        <is>
          <t>Tx. Expediente  01/2025</t>
        </is>
      </c>
      <c r="F33" s="0" t="n">
        <v>10.03</v>
      </c>
      <c r="G33" s="0" t="inlineStr">
        <is>
          <t>Rua Da Alfândega N. 25 / Sala 602 (124 1/1)</t>
        </is>
      </c>
      <c r="H33" s="0" t="inlineStr">
        <is>
          <t>Tx. Expediente</t>
        </is>
      </c>
    </row>
    <row r="34">
      <c r="A34" s="0" t="inlineStr">
        <is>
          <t>Caixa e equivalentes-caixa:Adibras</t>
        </is>
      </c>
      <c r="B34" s="0" t="inlineStr">
        <is>
          <t>Adibras Administradora Brasileira de bens LTDA</t>
        </is>
      </c>
      <c r="C34" s="0" t="inlineStr">
        <is>
          <t>06/05/2025</t>
        </is>
      </c>
      <c r="D34" s="0" t="inlineStr">
        <is>
          <t>Custos com imóveis próprios:Administração dos imóveis</t>
        </is>
      </c>
      <c r="E34" s="0" t="inlineStr">
        <is>
          <t>Tx. Expediente  01/2025</t>
        </is>
      </c>
      <c r="F34" s="0" t="n">
        <v>10.03</v>
      </c>
      <c r="G34" s="0" t="inlineStr">
        <is>
          <t>Rua Da Quitanda N. 161  /  Loja  A (156 1/3)</t>
        </is>
      </c>
      <c r="H34" s="0" t="inlineStr">
        <is>
          <t>Tx. Expediente</t>
        </is>
      </c>
    </row>
    <row r="35">
      <c r="A35" s="0" t="inlineStr">
        <is>
          <t>Caixa e equivalentes-caixa:Adibras</t>
        </is>
      </c>
      <c r="B35" s="0" t="inlineStr">
        <is>
          <t>Adibras Administradora Brasileira de bens LTDA</t>
        </is>
      </c>
      <c r="C35" s="0" t="inlineStr">
        <is>
          <t>06/05/2025</t>
        </is>
      </c>
      <c r="D35" s="0" t="inlineStr">
        <is>
          <t>Custos com imóveis próprios:Administração dos imóveis</t>
        </is>
      </c>
      <c r="E35" s="0" t="inlineStr">
        <is>
          <t>Tx. Expediente  01/2025</t>
        </is>
      </c>
      <c r="F35" s="0" t="n">
        <v>10.03</v>
      </c>
      <c r="G35" s="0" t="inlineStr">
        <is>
          <t>Rua Da Quitanda N. 161  /  Sala 201  E  Sala 301 (156 2.3/3)</t>
        </is>
      </c>
      <c r="H35" s="0" t="inlineStr">
        <is>
          <t>Tx. Expediente</t>
        </is>
      </c>
    </row>
    <row r="36">
      <c r="A36" s="0" t="inlineStr">
        <is>
          <t>Caixa e equivalentes-caixa:Adibras</t>
        </is>
      </c>
      <c r="B36" s="0" t="inlineStr">
        <is>
          <t>Adibras Administradora Brasileira de bens LTDA</t>
        </is>
      </c>
      <c r="C36" s="0" t="inlineStr">
        <is>
          <t>06/05/2025</t>
        </is>
      </c>
      <c r="D36" s="0" t="inlineStr">
        <is>
          <t>Custos com imóveis próprios:Administração dos imóveis</t>
        </is>
      </c>
      <c r="E36" s="0" t="inlineStr">
        <is>
          <t>Tx. Expediente  01/2025</t>
        </is>
      </c>
      <c r="F36" s="0" t="n">
        <v>10.03</v>
      </c>
      <c r="G36" s="0" t="inlineStr">
        <is>
          <t>Rua Pedro I N. 14 / Sobrado (171 2/2)</t>
        </is>
      </c>
      <c r="H36" s="0" t="inlineStr">
        <is>
          <t>Tx. Expediente</t>
        </is>
      </c>
    </row>
    <row r="37">
      <c r="A37" s="0" t="inlineStr">
        <is>
          <t>Caixa e equivalentes-caixa:Adibras</t>
        </is>
      </c>
      <c r="B37" s="0" t="inlineStr">
        <is>
          <t>Adibras Administradora Brasileira de bens LTDA</t>
        </is>
      </c>
      <c r="C37" s="0" t="inlineStr">
        <is>
          <t>06/05/2025</t>
        </is>
      </c>
      <c r="D37" s="0" t="inlineStr">
        <is>
          <t>Custos com imóveis próprios:Administração dos imóveis</t>
        </is>
      </c>
      <c r="E37" s="0" t="inlineStr">
        <is>
          <t>Tx. Expediente  01/2025</t>
        </is>
      </c>
      <c r="F37" s="0" t="n">
        <v>10.03</v>
      </c>
      <c r="G37" s="0" t="inlineStr">
        <is>
          <t>Rua Da Quitanda N. 191 / Loja A (201 1/1)</t>
        </is>
      </c>
      <c r="H37" s="0" t="inlineStr">
        <is>
          <t>Tx. Expediente</t>
        </is>
      </c>
    </row>
    <row r="38">
      <c r="A38" s="0" t="inlineStr">
        <is>
          <t>Caixa e equivalentes-caixa:Adibras</t>
        </is>
      </c>
      <c r="B38" s="0" t="inlineStr">
        <is>
          <t>Adibras Administradora Brasileira de bens LTDA</t>
        </is>
      </c>
      <c r="C38" s="0" t="inlineStr">
        <is>
          <t>06/05/2025</t>
        </is>
      </c>
      <c r="D38" s="0" t="inlineStr">
        <is>
          <t>Custos com imóveis próprios:Administração dos imóveis</t>
        </is>
      </c>
      <c r="E38" s="0" t="inlineStr">
        <is>
          <t>Tx. Expediente  01/2025</t>
        </is>
      </c>
      <c r="F38" s="0" t="n">
        <v>10.03</v>
      </c>
      <c r="G38" s="0" t="inlineStr">
        <is>
          <t>Travessa do Ouvidor N. 17 / Loja 17-A</t>
        </is>
      </c>
      <c r="H38" s="0" t="inlineStr">
        <is>
          <t>Tx. Expediente</t>
        </is>
      </c>
    </row>
    <row r="39">
      <c r="A39" s="0" t="inlineStr">
        <is>
          <t>Caixa e equivalentes-caixa:Adibras</t>
        </is>
      </c>
      <c r="B39" s="0" t="inlineStr">
        <is>
          <t>Adibras Administradora Brasileira de bens LTDA</t>
        </is>
      </c>
      <c r="C39" s="0" t="inlineStr">
        <is>
          <t>06/05/2025</t>
        </is>
      </c>
      <c r="D39" s="0" t="inlineStr">
        <is>
          <t>Custos com imóveis próprios:Administração dos imóveis</t>
        </is>
      </c>
      <c r="E39" s="0" t="inlineStr">
        <is>
          <t>Tx. Expediente  01/2025</t>
        </is>
      </c>
      <c r="F39" s="0" t="n">
        <v>10.03</v>
      </c>
      <c r="G39" s="0" t="inlineStr">
        <is>
          <t>Rua General Roca N. 614 / Loja A (145 1/1)</t>
        </is>
      </c>
      <c r="H39" s="0" t="inlineStr">
        <is>
          <t>Tx. Expediente</t>
        </is>
      </c>
    </row>
    <row r="40">
      <c r="A40" s="0" t="inlineStr">
        <is>
          <t>Caixa e equivalentes-caixa:Adibras</t>
        </is>
      </c>
      <c r="B40" s="0" t="inlineStr">
        <is>
          <t>Adibras Administradora Brasileira de bens LTDA</t>
        </is>
      </c>
      <c r="C40" s="0" t="inlineStr">
        <is>
          <t>06/05/2025</t>
        </is>
      </c>
      <c r="D40" s="0" t="inlineStr">
        <is>
          <t>Custos com imóveis próprios:Administração dos imóveis</t>
        </is>
      </c>
      <c r="E40" s="0" t="inlineStr">
        <is>
          <t>Tx. Expediente  01/2025</t>
        </is>
      </c>
      <c r="F40" s="0" t="n">
        <v>10.03</v>
      </c>
      <c r="G40" s="0" t="inlineStr">
        <is>
          <t>Praça Saens Pena N. 67 / Parte Do Sobrado (144 2/3)</t>
        </is>
      </c>
      <c r="H40" s="0" t="inlineStr">
        <is>
          <t>Tx. Expediente</t>
        </is>
      </c>
    </row>
    <row r="41">
      <c r="A41" s="0" t="inlineStr">
        <is>
          <t>Caixa e equivalentes-caixa:Adibras</t>
        </is>
      </c>
      <c r="B41" s="0" t="inlineStr">
        <is>
          <t>Adibras Administradora Brasileira de bens LTDA</t>
        </is>
      </c>
      <c r="C41" s="0" t="inlineStr">
        <is>
          <t>06/05/2025</t>
        </is>
      </c>
      <c r="D41" s="0" t="inlineStr">
        <is>
          <t>Custos com imóveis próprios:Administração dos imóveis</t>
        </is>
      </c>
      <c r="E41" s="0" t="inlineStr">
        <is>
          <t>Tx. Expediente  01/2025</t>
        </is>
      </c>
      <c r="F41" s="0" t="n">
        <v>10.03</v>
      </c>
      <c r="G41" s="0" t="inlineStr">
        <is>
          <t>Praça Mauá N. 15 / 2º, 3º E 4º  Andares (134 2/2)</t>
        </is>
      </c>
      <c r="H41" s="0" t="inlineStr">
        <is>
          <t>Tx. Expediente</t>
        </is>
      </c>
    </row>
    <row r="42">
      <c r="A42" s="0" t="inlineStr">
        <is>
          <t>Caixa e equivalentes-caixa:Adibras</t>
        </is>
      </c>
      <c r="B42" s="0" t="inlineStr">
        <is>
          <t>Adibras Administradora Brasileira de bens LTDA</t>
        </is>
      </c>
      <c r="C42" s="0" t="inlineStr">
        <is>
          <t>06/05/2025</t>
        </is>
      </c>
      <c r="D42" s="0" t="inlineStr">
        <is>
          <t>Custos com imóveis próprios:Administração dos imóveis</t>
        </is>
      </c>
      <c r="E42" s="0" t="inlineStr">
        <is>
          <t>Tx. Expediente  01/2025</t>
        </is>
      </c>
      <c r="F42" s="0" t="n">
        <v>10.03</v>
      </c>
      <c r="G42" s="0" t="inlineStr">
        <is>
          <t>Praça Mauá N. 15 / Loja 15-A (134 1/2)</t>
        </is>
      </c>
      <c r="H42" s="0" t="inlineStr">
        <is>
          <t>Tx. Expediente</t>
        </is>
      </c>
    </row>
    <row r="43">
      <c r="A43" s="0" t="inlineStr">
        <is>
          <t>Caixa e equivalentes-caixa:Adibras</t>
        </is>
      </c>
      <c r="B43" s="0" t="inlineStr">
        <is>
          <t>Adibras Administradora Brasileira de bens LTDA</t>
        </is>
      </c>
      <c r="C43" s="0" t="inlineStr">
        <is>
          <t>06/05/2025</t>
        </is>
      </c>
      <c r="D43" s="0" t="inlineStr">
        <is>
          <t>Custos com imóveis próprios:Administração dos imóveis</t>
        </is>
      </c>
      <c r="E43" s="0" t="inlineStr">
        <is>
          <t>Tx. Expediente  01/2025</t>
        </is>
      </c>
      <c r="F43" s="0" t="n">
        <v>2.51</v>
      </c>
      <c r="G43" s="0" t="inlineStr">
        <is>
          <t>Rua Capitão Felix N. 110 / Loja 18 Rua 11 Blc P Pav 02 (138 1/1)</t>
        </is>
      </c>
      <c r="H43" s="0" t="inlineStr">
        <is>
          <t>Tx. Expediente</t>
        </is>
      </c>
    </row>
    <row r="44">
      <c r="A44" s="0" t="inlineStr">
        <is>
          <t>Caixa e equivalentes-caixa:Adibras</t>
        </is>
      </c>
      <c r="B44" s="0" t="inlineStr">
        <is>
          <t>Adibras Administradora Brasileira de bens LTDA</t>
        </is>
      </c>
      <c r="C44" s="0" t="inlineStr">
        <is>
          <t>06/05/2025</t>
        </is>
      </c>
      <c r="D44" s="0" t="inlineStr">
        <is>
          <t>Custos com imóveis próprios:Administração dos imóveis</t>
        </is>
      </c>
      <c r="E44" s="0" t="inlineStr">
        <is>
          <t>Tx. Expediente  01/2025</t>
        </is>
      </c>
      <c r="F44" s="0" t="n">
        <v>10.03</v>
      </c>
      <c r="G44" s="0" t="inlineStr">
        <is>
          <t>Rua Pedro I N. 14 / Loja (171 1/2)</t>
        </is>
      </c>
      <c r="H44" s="0" t="inlineStr">
        <is>
          <t>Tx. Expediente</t>
        </is>
      </c>
    </row>
    <row r="45">
      <c r="A45" s="0" t="inlineStr">
        <is>
          <t>Caixa e equivalentes-caixa:Adibras</t>
        </is>
      </c>
      <c r="B45" s="0" t="inlineStr">
        <is>
          <t>Adibras Administradora Brasileira de bens LTDA</t>
        </is>
      </c>
      <c r="C45" s="0" t="inlineStr">
        <is>
          <t>06/05/2025</t>
        </is>
      </c>
      <c r="D45" s="0" t="inlineStr">
        <is>
          <t>Custos com imóveis próprios:Administração dos imóveis</t>
        </is>
      </c>
      <c r="E45" s="0" t="inlineStr">
        <is>
          <t>Tx. Expediente  01/0025</t>
        </is>
      </c>
      <c r="F45" s="0" t="n">
        <v>10.03</v>
      </c>
      <c r="G45" s="0" t="inlineStr">
        <is>
          <t>R MIGUEL COUTO, 143 LJA</t>
        </is>
      </c>
      <c r="H45" s="0" t="inlineStr">
        <is>
          <t>Tx. Expediente</t>
        </is>
      </c>
    </row>
    <row r="46">
      <c r="A46" s="0" t="inlineStr">
        <is>
          <t>Caixa e equivalentes-caixa:Adibras</t>
        </is>
      </c>
      <c r="B46" s="0" t="inlineStr">
        <is>
          <t>Adibras Administradora Brasileira de bens LTDA</t>
        </is>
      </c>
      <c r="C46" s="0" t="inlineStr">
        <is>
          <t>06/05/2025</t>
        </is>
      </c>
      <c r="D46" s="0" t="inlineStr">
        <is>
          <t>Custos com imóveis próprios:Administração dos imóveis</t>
        </is>
      </c>
      <c r="E46" s="0" t="inlineStr">
        <is>
          <t>Tx. Expediente  01/2025</t>
        </is>
      </c>
      <c r="F46" s="0" t="n">
        <v>5.64</v>
      </c>
      <c r="G46" s="0" t="inlineStr">
        <is>
          <t>R VISC DE INHAUMA, 62 LJA E SOBRELOJA</t>
        </is>
      </c>
      <c r="H46" s="0" t="inlineStr">
        <is>
          <t>Tx. Expediente</t>
        </is>
      </c>
    </row>
    <row r="47">
      <c r="A47" s="0" t="inlineStr">
        <is>
          <t>Caixa e equivalentes-caixa:Adibras</t>
        </is>
      </c>
      <c r="B47" s="0" t="inlineStr">
        <is>
          <t>Adibras Administradora Brasileira de bens LTDA</t>
        </is>
      </c>
      <c r="C47" s="0" t="inlineStr">
        <is>
          <t>06/05/2025</t>
        </is>
      </c>
      <c r="D47" s="0" t="inlineStr">
        <is>
          <t>Custos com imóveis próprios:Administração dos imóveis</t>
        </is>
      </c>
      <c r="E47" s="0" t="inlineStr">
        <is>
          <t>Tx. Expediente  01/2025</t>
        </is>
      </c>
      <c r="F47" s="0" t="n">
        <v>10.03</v>
      </c>
      <c r="G47" s="0" t="inlineStr">
        <is>
          <t>Rua Dr. Paulo Fróes Machado N. 95 - Loja - Nova Iguaçu (193 1/1)</t>
        </is>
      </c>
      <c r="H47" s="0" t="inlineStr">
        <is>
          <t>Tx. Expediente</t>
        </is>
      </c>
    </row>
    <row r="48">
      <c r="A48" s="0" t="inlineStr">
        <is>
          <t>Caixa e equivalentes-caixa:Adibras</t>
        </is>
      </c>
      <c r="B48" s="0" t="inlineStr">
        <is>
          <t>Adibras Administradora Brasileira de bens LTDA</t>
        </is>
      </c>
      <c r="C48" s="0" t="inlineStr">
        <is>
          <t>06/05/2025</t>
        </is>
      </c>
      <c r="D48" s="0" t="inlineStr">
        <is>
          <t>Custos com imóveis próprios:Administração dos imóveis</t>
        </is>
      </c>
      <c r="E48" s="0" t="inlineStr">
        <is>
          <t>Tx. Expediente  01/2025</t>
        </is>
      </c>
      <c r="F48" s="0" t="n">
        <v>10.03</v>
      </c>
      <c r="G48" s="0" t="inlineStr">
        <is>
          <t>Rua Dr. Paulo Fróes Machado N. 105 - Loja - Nova Iguaçu (194 1/1)</t>
        </is>
      </c>
      <c r="H48" s="0" t="inlineStr">
        <is>
          <t>Tx. Expediente</t>
        </is>
      </c>
    </row>
    <row r="49">
      <c r="A49" s="0" t="inlineStr">
        <is>
          <t>Caixa e equivalentes-caixa:Adibras</t>
        </is>
      </c>
      <c r="B49" s="0" t="inlineStr">
        <is>
          <t>Adibras Administradora Brasileira de bens LTDA</t>
        </is>
      </c>
      <c r="C49" s="0" t="inlineStr">
        <is>
          <t>06/05/2025</t>
        </is>
      </c>
      <c r="D49" s="0" t="inlineStr">
        <is>
          <t>Custos com imóveis próprios:Administração dos imóveis</t>
        </is>
      </c>
      <c r="E49" s="0" t="inlineStr">
        <is>
          <t>Tx. Expediente  01/2025</t>
        </is>
      </c>
      <c r="F49" s="0" t="n">
        <v>10.03</v>
      </c>
      <c r="G49" s="0" t="inlineStr">
        <is>
          <t>Rua Da Passagem N. 83 / Sala 405 (130 1/1)</t>
        </is>
      </c>
      <c r="H49" s="0" t="inlineStr">
        <is>
          <t>Tx. Expediente</t>
        </is>
      </c>
    </row>
    <row r="50">
      <c r="A50" s="0" t="inlineStr">
        <is>
          <t>Caixa e equivalentes-caixa:Adibras</t>
        </is>
      </c>
      <c r="B50" s="0" t="inlineStr">
        <is>
          <t>Adibras Administradora Brasileira de bens LTDA</t>
        </is>
      </c>
      <c r="C50" s="0" t="inlineStr">
        <is>
          <t>06/05/2025</t>
        </is>
      </c>
      <c r="D50" s="0" t="inlineStr">
        <is>
          <t>Custos com imóveis próprios:Administração dos imóveis</t>
        </is>
      </c>
      <c r="E50" s="0" t="inlineStr">
        <is>
          <t>Tx. Expediente  01/2025</t>
        </is>
      </c>
      <c r="F50" s="0" t="n">
        <v>2.26</v>
      </c>
      <c r="G50" s="0" t="inlineStr">
        <is>
          <t>Rua Do Acre N. 77 / Loja D (158 1/1)</t>
        </is>
      </c>
      <c r="H50" s="0" t="inlineStr">
        <is>
          <t>Tx. Expediente</t>
        </is>
      </c>
    </row>
    <row r="51">
      <c r="A51" s="0" t="inlineStr">
        <is>
          <t>Caixa e equivalentes-caixa:Adibras</t>
        </is>
      </c>
      <c r="B51" s="0" t="inlineStr">
        <is>
          <t>Adibras Administradora Brasileira de bens LTDA</t>
        </is>
      </c>
      <c r="C51" s="0" t="inlineStr">
        <is>
          <t>06/05/2025</t>
        </is>
      </c>
      <c r="D51" s="0" t="inlineStr">
        <is>
          <t>Custos com imóveis próprios:Administração dos imóveis</t>
        </is>
      </c>
      <c r="E51" s="0" t="inlineStr">
        <is>
          <t>Tx. Expediente  01/2025</t>
        </is>
      </c>
      <c r="F51" s="0" t="n">
        <v>1.91</v>
      </c>
      <c r="G51" s="0" t="inlineStr">
        <is>
          <t>Rua Senador Dantas N. 44 / Loja A (177 1/1)</t>
        </is>
      </c>
      <c r="H51" s="0" t="inlineStr">
        <is>
          <t>Tx. Expediente</t>
        </is>
      </c>
    </row>
    <row r="52">
      <c r="A52" s="0" t="inlineStr">
        <is>
          <t>Caixa e equivalentes-caixa:Adibras</t>
        </is>
      </c>
      <c r="B52" s="0" t="inlineStr">
        <is>
          <t>Adibras Administradora Brasileira de bens LTDA</t>
        </is>
      </c>
      <c r="C52" s="0" t="inlineStr">
        <is>
          <t>06/05/2025</t>
        </is>
      </c>
      <c r="D52" s="0" t="inlineStr">
        <is>
          <t>Custos com imóveis próprios:Administração dos imóveis</t>
        </is>
      </c>
      <c r="E52" s="0" t="inlineStr">
        <is>
          <t>Tx. Expediente  01/2025</t>
        </is>
      </c>
      <c r="F52" s="0" t="n">
        <v>1.76</v>
      </c>
      <c r="G52" s="0" t="inlineStr">
        <is>
          <t>Av. Das Américas N. 1155  /  Loja  D (150 1/1)</t>
        </is>
      </c>
      <c r="H52" s="0" t="inlineStr">
        <is>
          <t>Tx. Expediente</t>
        </is>
      </c>
    </row>
    <row r="53">
      <c r="A53" s="0" t="inlineStr">
        <is>
          <t>Caixa e equivalentes-caixa:Adibras</t>
        </is>
      </c>
      <c r="B53" s="0" t="inlineStr">
        <is>
          <t>Adibras Administradora Brasileira de bens LTDA</t>
        </is>
      </c>
      <c r="C53" s="0" t="inlineStr">
        <is>
          <t>06/05/2025</t>
        </is>
      </c>
      <c r="D53" s="0" t="inlineStr">
        <is>
          <t>Custos com imóveis próprios:Administração dos imóveis</t>
        </is>
      </c>
      <c r="E53" s="0" t="inlineStr">
        <is>
          <t>Tx. Expediente  01/2025</t>
        </is>
      </c>
      <c r="F53" s="0" t="n">
        <v>6.38</v>
      </c>
      <c r="G53" s="0" t="inlineStr">
        <is>
          <t>Av. Princesa Isabel N. 300 / Loja B Do Bloco A (128 1/1)</t>
        </is>
      </c>
      <c r="H53" s="0" t="inlineStr">
        <is>
          <t>Tx. Expediente</t>
        </is>
      </c>
    </row>
    <row r="54">
      <c r="A54" s="0" t="inlineStr">
        <is>
          <t>Caixa e equivalentes-caixa:Adibras</t>
        </is>
      </c>
      <c r="B54" s="0" t="inlineStr">
        <is>
          <t>Adibras Administradora Brasileira de bens LTDA</t>
        </is>
      </c>
      <c r="C54" s="0" t="inlineStr">
        <is>
          <t>06/05/2025</t>
        </is>
      </c>
      <c r="D54" s="0" t="inlineStr">
        <is>
          <t>Custos com imóveis próprios:Administração dos imóveis</t>
        </is>
      </c>
      <c r="E54" s="0" t="inlineStr">
        <is>
          <t>Tx. Expediente  01/2025</t>
        </is>
      </c>
      <c r="F54" s="0" t="n">
        <v>5.02</v>
      </c>
      <c r="G54" s="0" t="inlineStr">
        <is>
          <t>Rua Evaristo Da Veiga N. 24 / Prédio (179 1/1)</t>
        </is>
      </c>
      <c r="H54" s="0" t="inlineStr">
        <is>
          <t>Tx. Expediente</t>
        </is>
      </c>
    </row>
    <row r="55">
      <c r="A55" s="0" t="inlineStr">
        <is>
          <t>Caixa e equivalentes-caixa:Adibras</t>
        </is>
      </c>
      <c r="B55" s="0" t="inlineStr">
        <is>
          <t>Adibras Administradora Brasileira de bens LTDA</t>
        </is>
      </c>
      <c r="C55" s="0" t="inlineStr">
        <is>
          <t>06/05/2025</t>
        </is>
      </c>
      <c r="D55" s="0" t="inlineStr">
        <is>
          <t>Custos com imóveis próprios:Administração dos imóveis</t>
        </is>
      </c>
      <c r="E55" s="0" t="inlineStr">
        <is>
          <t>Tx. Expediente  01/2025</t>
        </is>
      </c>
      <c r="F55" s="0" t="n">
        <v>3.01</v>
      </c>
      <c r="G55" s="0" t="inlineStr">
        <is>
          <t>Rua Do Rosário N. 112 / Loja E Sobreloja (178 1.2/9)</t>
        </is>
      </c>
      <c r="H55" s="0" t="inlineStr">
        <is>
          <t>Tx. Expediente</t>
        </is>
      </c>
    </row>
    <row r="56">
      <c r="A56" s="0" t="inlineStr">
        <is>
          <t>Caixa e equivalentes-caixa:Adibras</t>
        </is>
      </c>
      <c r="B56" s="0" t="inlineStr">
        <is>
          <t>Adibras Administradora Brasileira de bens LTDA</t>
        </is>
      </c>
      <c r="C56" s="0" t="inlineStr">
        <is>
          <t>06/05/2025</t>
        </is>
      </c>
      <c r="D56" s="0" t="inlineStr">
        <is>
          <t>Custos com imóveis próprios:Administração dos imóveis</t>
        </is>
      </c>
      <c r="E56" s="0" t="inlineStr">
        <is>
          <t>Tx. Expediente  01/2025</t>
        </is>
      </c>
      <c r="F56" s="0" t="n">
        <v>3.01</v>
      </c>
      <c r="G56" s="0" t="inlineStr">
        <is>
          <t>Rua Do Rosário N. 112 / 2º Andar (178 3/9)</t>
        </is>
      </c>
      <c r="H56" s="0" t="inlineStr">
        <is>
          <t>Tx. Expediente</t>
        </is>
      </c>
    </row>
    <row r="57">
      <c r="A57" s="0" t="inlineStr">
        <is>
          <t>Caixa e equivalentes-caixa:Adibras</t>
        </is>
      </c>
      <c r="B57" s="0" t="inlineStr">
        <is>
          <t>Adibras Administradora Brasileira de bens LTDA</t>
        </is>
      </c>
      <c r="C57" s="0" t="inlineStr">
        <is>
          <t>06/05/2025</t>
        </is>
      </c>
      <c r="D57" s="0" t="inlineStr">
        <is>
          <t>Custos com imóveis próprios:Administração dos imóveis</t>
        </is>
      </c>
      <c r="E57" s="0" t="inlineStr">
        <is>
          <t>Tx. Expediente  01/2025</t>
        </is>
      </c>
      <c r="F57" s="0" t="n">
        <v>3.01</v>
      </c>
      <c r="G57" s="0" t="inlineStr">
        <is>
          <t>Rua Do Rosário N. 112 / 3º Andar (178 4/9)</t>
        </is>
      </c>
      <c r="H57" s="0" t="inlineStr">
        <is>
          <t>Tx. Expediente</t>
        </is>
      </c>
    </row>
    <row r="58">
      <c r="A58" s="0" t="inlineStr">
        <is>
          <t>Caixa e equivalentes-caixa:Adibras</t>
        </is>
      </c>
      <c r="B58" s="0" t="inlineStr">
        <is>
          <t>Adibras Administradora Brasileira de bens LTDA</t>
        </is>
      </c>
      <c r="C58" s="0" t="inlineStr">
        <is>
          <t>06/05/2025</t>
        </is>
      </c>
      <c r="D58" s="0" t="inlineStr">
        <is>
          <t>Custos com imóveis próprios:Administração dos imóveis</t>
        </is>
      </c>
      <c r="E58" s="0" t="inlineStr">
        <is>
          <t>Tx. Expediente  01/2025</t>
        </is>
      </c>
      <c r="F58" s="0" t="n">
        <v>3.01</v>
      </c>
      <c r="G58" s="0" t="inlineStr">
        <is>
          <t>Rua Do Rosário N. 112 / 4º Andar (178 5/9)</t>
        </is>
      </c>
      <c r="H58" s="0" t="inlineStr">
        <is>
          <t>Tx. Expediente</t>
        </is>
      </c>
    </row>
    <row r="59">
      <c r="A59" s="0" t="inlineStr">
        <is>
          <t>Caixa e equivalentes-caixa:Adibras</t>
        </is>
      </c>
      <c r="B59" s="0" t="inlineStr">
        <is>
          <t>Adibras Administradora Brasileira de bens LTDA</t>
        </is>
      </c>
      <c r="C59" s="0" t="inlineStr">
        <is>
          <t>06/05/2025</t>
        </is>
      </c>
      <c r="D59" s="0" t="inlineStr">
        <is>
          <t>Custos com imóveis próprios:Administração dos imóveis</t>
        </is>
      </c>
      <c r="E59" s="0" t="inlineStr">
        <is>
          <t>Tx. Expediente  01/2025</t>
        </is>
      </c>
      <c r="F59" s="0" t="n">
        <v>3.01</v>
      </c>
      <c r="G59" s="0" t="inlineStr">
        <is>
          <t>Rua Do Rosário N. 112 / 5º Andar (178 6/9)</t>
        </is>
      </c>
      <c r="H59" s="0" t="inlineStr">
        <is>
          <t>Tx. Expediente</t>
        </is>
      </c>
    </row>
    <row r="60">
      <c r="A60" s="0" t="inlineStr">
        <is>
          <t>Caixa e equivalentes-caixa:Adibras</t>
        </is>
      </c>
      <c r="B60" s="0" t="inlineStr">
        <is>
          <t>Adibras Administradora Brasileira de bens LTDA</t>
        </is>
      </c>
      <c r="C60" s="0" t="inlineStr">
        <is>
          <t>06/05/2025</t>
        </is>
      </c>
      <c r="D60" s="0" t="inlineStr">
        <is>
          <t>Custos com imóveis próprios:Administração dos imóveis</t>
        </is>
      </c>
      <c r="E60" s="0" t="inlineStr">
        <is>
          <t>Tx. Expediente  01/2025</t>
        </is>
      </c>
      <c r="F60" s="0" t="n">
        <v>3.01</v>
      </c>
      <c r="G60" s="0" t="inlineStr">
        <is>
          <t>Rua Do Rosário N. 112 / 6º Andar (178 7/9)</t>
        </is>
      </c>
      <c r="H60" s="0" t="inlineStr">
        <is>
          <t>Tx. Expediente</t>
        </is>
      </c>
    </row>
    <row r="61">
      <c r="A61" s="0" t="inlineStr">
        <is>
          <t>Caixa e equivalentes-caixa:Adibras</t>
        </is>
      </c>
      <c r="B61" s="0" t="inlineStr">
        <is>
          <t>Adibras Administradora Brasileira de bens LTDA</t>
        </is>
      </c>
      <c r="C61" s="0" t="inlineStr">
        <is>
          <t>06/05/2025</t>
        </is>
      </c>
      <c r="D61" s="0" t="inlineStr">
        <is>
          <t>Custos com imóveis próprios:Administração dos imóveis</t>
        </is>
      </c>
      <c r="E61" s="0" t="inlineStr">
        <is>
          <t>Tx. Expediente  01/2025</t>
        </is>
      </c>
      <c r="F61" s="0" t="n">
        <v>3.01</v>
      </c>
      <c r="G61" s="0" t="inlineStr">
        <is>
          <t>Rua Do Rosário N. 112 / 7º Andar (178 8/9)</t>
        </is>
      </c>
      <c r="H61" s="0" t="inlineStr">
        <is>
          <t>Tx. Expediente</t>
        </is>
      </c>
    </row>
    <row r="62">
      <c r="A62" s="0" t="inlineStr">
        <is>
          <t>Caixa e equivalentes-caixa:Adibras</t>
        </is>
      </c>
      <c r="B62" s="0" t="inlineStr">
        <is>
          <t>Adibras Administradora Brasileira de bens LTDA</t>
        </is>
      </c>
      <c r="C62" s="0" t="inlineStr">
        <is>
          <t>06/05/2025</t>
        </is>
      </c>
      <c r="D62" s="0" t="inlineStr">
        <is>
          <t>Custos com imóveis próprios:Administração dos imóveis</t>
        </is>
      </c>
      <c r="E62" s="0" t="inlineStr">
        <is>
          <t>Tx. Expediente  01/2025</t>
        </is>
      </c>
      <c r="F62" s="0" t="n">
        <v>3.01</v>
      </c>
      <c r="G62" s="0" t="inlineStr">
        <is>
          <t>Rua Do Rosário N. 112 / 8º Andar  /  Sala 801 (178 9.1/9)</t>
        </is>
      </c>
      <c r="H62" s="0" t="inlineStr">
        <is>
          <t>Tx. Expediente</t>
        </is>
      </c>
    </row>
    <row r="63">
      <c r="A63" s="0" t="inlineStr">
        <is>
          <t>Caixa e equivalentes-caixa:Adibras</t>
        </is>
      </c>
      <c r="B63" s="0" t="inlineStr">
        <is>
          <t>Adibras Administradora Brasileira de bens LTDA</t>
        </is>
      </c>
      <c r="C63" s="0" t="inlineStr">
        <is>
          <t>06/05/2025</t>
        </is>
      </c>
      <c r="D63" s="0" t="inlineStr">
        <is>
          <t>Custos com imóveis próprios:Administração dos imóveis</t>
        </is>
      </c>
      <c r="E63" s="0" t="inlineStr">
        <is>
          <t>Tx. Expediente  01/2025</t>
        </is>
      </c>
      <c r="F63" s="0" t="n">
        <v>3.01</v>
      </c>
      <c r="G63" s="0" t="inlineStr">
        <is>
          <t>Rua Do Rosário N. 112 / 8º Andar Corresp Ao 9º  /  Sala 801 Parte (178 9.2/9)</t>
        </is>
      </c>
      <c r="H63" s="0" t="inlineStr">
        <is>
          <t>Tx. Expediente</t>
        </is>
      </c>
    </row>
    <row r="64">
      <c r="A64" s="0" t="inlineStr">
        <is>
          <t>Caixa e equivalentes-caixa:Adibras</t>
        </is>
      </c>
      <c r="B64" s="0" t="inlineStr">
        <is>
          <t>Adibras Administradora Brasileira de bens LTDA</t>
        </is>
      </c>
      <c r="C64" s="0" t="inlineStr">
        <is>
          <t>06/05/2025</t>
        </is>
      </c>
      <c r="D64" s="0" t="inlineStr">
        <is>
          <t>Custos com imóveis próprios:Administração dos imóveis</t>
        </is>
      </c>
      <c r="E64" s="0" t="inlineStr">
        <is>
          <t>Tx. Expediente  01/2025</t>
        </is>
      </c>
      <c r="F64" s="0" t="n">
        <v>5.02</v>
      </c>
      <c r="G64" s="0" t="inlineStr">
        <is>
          <t>Rua Sacadura Cabral N. 149 - Prédio (195 1/1)</t>
        </is>
      </c>
      <c r="H64" s="0" t="inlineStr">
        <is>
          <t>Tx. Expediente</t>
        </is>
      </c>
    </row>
    <row r="65">
      <c r="A65" s="0" t="inlineStr">
        <is>
          <t>Caixa e equivalentes-caixa:Adibras</t>
        </is>
      </c>
      <c r="B65" s="0" t="inlineStr">
        <is>
          <t>Adibras Administradora Brasileira de bens LTDA</t>
        </is>
      </c>
      <c r="C65" s="0" t="inlineStr">
        <is>
          <t>06/05/2025</t>
        </is>
      </c>
      <c r="D65" s="0" t="inlineStr">
        <is>
          <t>Custos com imóveis próprios:Administração dos imóveis</t>
        </is>
      </c>
      <c r="E65" s="0" t="inlineStr">
        <is>
          <t>Tx. Expediente  01/2025</t>
        </is>
      </c>
      <c r="F65" s="0" t="n">
        <v>5.02</v>
      </c>
      <c r="G65" s="0" t="inlineStr">
        <is>
          <t>Rua Sacadura Cabral N. 151 / Loja (196 1/2)</t>
        </is>
      </c>
      <c r="H65" s="0" t="inlineStr">
        <is>
          <t>Tx. Expediente</t>
        </is>
      </c>
    </row>
    <row r="66">
      <c r="A66" s="0" t="inlineStr">
        <is>
          <t>Caixa e equivalentes-caixa:Adibras</t>
        </is>
      </c>
      <c r="B66" s="0" t="inlineStr">
        <is>
          <t>Adibras Administradora Brasileira de bens LTDA</t>
        </is>
      </c>
      <c r="C66" s="0" t="inlineStr">
        <is>
          <t>06/05/2025</t>
        </is>
      </c>
      <c r="D66" s="0" t="inlineStr">
        <is>
          <t>Custos com imóveis próprios:Administração dos imóveis</t>
        </is>
      </c>
      <c r="E66" s="0" t="inlineStr">
        <is>
          <t>Tx. Expediente  01/2025</t>
        </is>
      </c>
      <c r="F66" s="0" t="n">
        <v>5.02</v>
      </c>
      <c r="G66" s="0" t="inlineStr">
        <is>
          <t>Rua Sacadura Cabral N. 151</t>
        </is>
      </c>
      <c r="H66" s="0" t="inlineStr">
        <is>
          <t>Tx. Expediente</t>
        </is>
      </c>
    </row>
    <row r="67">
      <c r="A67" s="0" t="inlineStr">
        <is>
          <t>Caixa e equivalentes-caixa:Adibras</t>
        </is>
      </c>
      <c r="B67" s="0" t="inlineStr">
        <is>
          <t>Adibras Administradora Brasileira de bens LTDA</t>
        </is>
      </c>
      <c r="C67" s="0" t="inlineStr">
        <is>
          <t>06/05/2025</t>
        </is>
      </c>
      <c r="D67" s="0" t="inlineStr">
        <is>
          <t>Custos com imóveis próprios:Administração dos imóveis</t>
        </is>
      </c>
      <c r="E67" s="0" t="inlineStr">
        <is>
          <t>Tx. Expediente  01/2025</t>
        </is>
      </c>
      <c r="F67" s="0" t="n">
        <v>1</v>
      </c>
      <c r="G67" s="0" t="inlineStr">
        <is>
          <t>Rua Senador Dantas N. 117 / Loja Q (126 1/1)</t>
        </is>
      </c>
      <c r="H67" s="0" t="inlineStr">
        <is>
          <t>Tx. Expediente</t>
        </is>
      </c>
    </row>
    <row r="68">
      <c r="A68" s="0" t="inlineStr">
        <is>
          <t>Caixa e equivalentes-caixa:Adibras</t>
        </is>
      </c>
      <c r="B68" s="0" t="inlineStr">
        <is>
          <t>Adibras Administradora Brasileira de bens LTDA</t>
        </is>
      </c>
      <c r="C68" s="0" t="inlineStr">
        <is>
          <t>06/05/2025</t>
        </is>
      </c>
      <c r="D68" s="0" t="inlineStr">
        <is>
          <t>Custos com imóveis próprios:Administração dos imóveis</t>
        </is>
      </c>
      <c r="E68" s="0" t="inlineStr">
        <is>
          <t>Tx. Expediente  01/2025</t>
        </is>
      </c>
      <c r="F68" s="0" t="n">
        <v>5.01</v>
      </c>
      <c r="G68" s="0" t="inlineStr">
        <is>
          <t>R SANTOS TITARA,159/101 FTE</t>
        </is>
      </c>
      <c r="H68" s="0" t="inlineStr">
        <is>
          <t>Tx. Expediente</t>
        </is>
      </c>
    </row>
    <row r="69">
      <c r="A69" s="0" t="inlineStr">
        <is>
          <t>Caixa e equivalentes-caixa:Adibras</t>
        </is>
      </c>
      <c r="B69" s="0" t="inlineStr">
        <is>
          <t>Adibras Administradora Brasileira de bens LTDA</t>
        </is>
      </c>
      <c r="C69" s="0" t="inlineStr">
        <is>
          <t>06/05/2025</t>
        </is>
      </c>
      <c r="D69" s="0" t="inlineStr">
        <is>
          <t>Custos com imóveis próprios:Administração dos imóveis</t>
        </is>
      </c>
      <c r="E69" s="0" t="inlineStr">
        <is>
          <t>Tx. Expediente  01/2025</t>
        </is>
      </c>
      <c r="F69" s="0" t="n">
        <v>5.02</v>
      </c>
      <c r="G69" s="0" t="inlineStr">
        <is>
          <t>Rua Dos Inválidos N. 138  /  Loja I Do  Bloco I (152 1/2)</t>
        </is>
      </c>
      <c r="H69" s="0" t="inlineStr">
        <is>
          <t>Tx. Expediente</t>
        </is>
      </c>
    </row>
    <row r="70">
      <c r="A70" s="0" t="inlineStr">
        <is>
          <t>Caixa e equivalentes-caixa:Adibras</t>
        </is>
      </c>
      <c r="B70" s="0" t="inlineStr">
        <is>
          <t>Adibras Administradora Brasileira de bens LTDA</t>
        </is>
      </c>
      <c r="C70" s="0" t="inlineStr">
        <is>
          <t>06/05/2025</t>
        </is>
      </c>
      <c r="D70" s="0" t="inlineStr">
        <is>
          <t>Custos com imóveis próprios:Administração dos imóveis</t>
        </is>
      </c>
      <c r="E70" s="0" t="inlineStr">
        <is>
          <t>Tx. Expediente  01/2025</t>
        </is>
      </c>
      <c r="F70" s="0" t="n">
        <v>5.02</v>
      </c>
      <c r="G70" s="0" t="inlineStr">
        <is>
          <t>R DOS INVALIDOS,138 GARAGEM</t>
        </is>
      </c>
      <c r="H70" s="0" t="inlineStr">
        <is>
          <t>Tx. Expediente</t>
        </is>
      </c>
    </row>
    <row r="71">
      <c r="A71" s="0" t="inlineStr">
        <is>
          <t>Caixa e equivalentes-caixa:Adibras</t>
        </is>
      </c>
      <c r="B71" s="0" t="inlineStr">
        <is>
          <t>Adibras Administradora Brasileira de bens LTDA</t>
        </is>
      </c>
      <c r="C71" s="0" t="inlineStr">
        <is>
          <t>06/05/2025</t>
        </is>
      </c>
      <c r="D71" s="0" t="inlineStr">
        <is>
          <t>Custos com imóveis próprios:Administração dos imóveis</t>
        </is>
      </c>
      <c r="E71" s="0" t="inlineStr">
        <is>
          <t>Tx. Expediente  01/2025</t>
        </is>
      </c>
      <c r="F71" s="0" t="n">
        <v>3.34</v>
      </c>
      <c r="G71" s="0" t="inlineStr">
        <is>
          <t>Rua Sete De Setembro N. 92 / Loja 112 (137 1/1)</t>
        </is>
      </c>
      <c r="H71" s="0" t="inlineStr">
        <is>
          <t>Tx. Expediente</t>
        </is>
      </c>
    </row>
    <row r="72">
      <c r="A72" s="0" t="inlineStr">
        <is>
          <t>Caixa e equivalentes-caixa:Adibras</t>
        </is>
      </c>
      <c r="B72" s="0" t="inlineStr">
        <is>
          <t>Adibras Administradora Brasileira de bens LTDA</t>
        </is>
      </c>
      <c r="C72" s="0" t="inlineStr">
        <is>
          <t>06/05/2025</t>
        </is>
      </c>
      <c r="D72" s="0" t="inlineStr">
        <is>
          <t>Custos com imóveis próprios:Administração dos imóveis</t>
        </is>
      </c>
      <c r="E72" s="0" t="inlineStr">
        <is>
          <t>Tx. Expediente  01/2025</t>
        </is>
      </c>
      <c r="F72" s="0" t="n">
        <v>5.42</v>
      </c>
      <c r="G72" s="0" t="inlineStr">
        <is>
          <t>Rua São Francisco Xavier N. 194 / Loja (132 1/5)</t>
        </is>
      </c>
      <c r="H72" s="0" t="inlineStr">
        <is>
          <t>Tx. Expediente</t>
        </is>
      </c>
    </row>
    <row r="73">
      <c r="A73" s="0" t="inlineStr">
        <is>
          <t>Caixa e equivalentes-caixa:Adibras</t>
        </is>
      </c>
      <c r="B73" s="0" t="inlineStr">
        <is>
          <t>Adibras Administradora Brasileira de bens LTDA</t>
        </is>
      </c>
      <c r="C73" s="0" t="inlineStr">
        <is>
          <t>06/05/2025</t>
        </is>
      </c>
      <c r="D73" s="0" t="inlineStr">
        <is>
          <t>Custos com imóveis próprios:Administração dos imóveis</t>
        </is>
      </c>
      <c r="E73" s="0" t="inlineStr">
        <is>
          <t>Tx. Expediente  01/2025</t>
        </is>
      </c>
      <c r="F73" s="0" t="n">
        <v>5.42</v>
      </c>
      <c r="G73" s="0" t="inlineStr">
        <is>
          <t>Rua São Francisco Xavier N. 196 / Loja E Casa 155 Complemento (132 2.5/5)</t>
        </is>
      </c>
      <c r="H73" s="0" t="inlineStr">
        <is>
          <t>Tx. Expediente</t>
        </is>
      </c>
    </row>
    <row r="74">
      <c r="A74" s="0" t="inlineStr">
        <is>
          <t>Caixa e equivalentes-caixa:Adibras</t>
        </is>
      </c>
      <c r="B74" s="0" t="inlineStr">
        <is>
          <t>Adibras Administradora Brasileira de bens LTDA</t>
        </is>
      </c>
      <c r="C74" s="0" t="inlineStr">
        <is>
          <t>06/05/2025</t>
        </is>
      </c>
      <c r="D74" s="0" t="inlineStr">
        <is>
          <t>Custos com imóveis próprios:Administração dos imóveis</t>
        </is>
      </c>
      <c r="E74" s="0" t="inlineStr">
        <is>
          <t>Tx. Expediente  01/2025</t>
        </is>
      </c>
      <c r="F74" s="0" t="n">
        <v>5.42</v>
      </c>
      <c r="G74" s="0" t="inlineStr">
        <is>
          <t>Rua São Francisco Xavier N. 194 Sobrado E 196 Sobrado (132 3/5)</t>
        </is>
      </c>
      <c r="H74" s="0" t="inlineStr">
        <is>
          <t>Tx. Expediente</t>
        </is>
      </c>
    </row>
    <row r="75">
      <c r="A75" s="0" t="inlineStr">
        <is>
          <t>Caixa e equivalentes-caixa:Adibras</t>
        </is>
      </c>
      <c r="B75" s="0" t="inlineStr">
        <is>
          <t>Adibras Administradora Brasileira de bens LTDA</t>
        </is>
      </c>
      <c r="C75" s="0" t="inlineStr">
        <is>
          <t>06/05/2025</t>
        </is>
      </c>
      <c r="D75" s="0" t="inlineStr">
        <is>
          <t>Custos com imóveis próprios:Administração dos imóveis</t>
        </is>
      </c>
      <c r="E75" s="0" t="inlineStr">
        <is>
          <t>Tx. Expediente  01/2025</t>
        </is>
      </c>
      <c r="F75" s="0" t="n">
        <v>5.42</v>
      </c>
      <c r="G75" s="0" t="inlineStr">
        <is>
          <t>Rua Moraes E Silva N. 153  / Casa (132 4/5)</t>
        </is>
      </c>
      <c r="H75" s="0" t="inlineStr">
        <is>
          <t>Tx. Expediente</t>
        </is>
      </c>
    </row>
    <row r="76">
      <c r="A76" s="0" t="inlineStr">
        <is>
          <t>Caixa e equivalentes-caixa:Adibras</t>
        </is>
      </c>
      <c r="B76" s="0" t="inlineStr">
        <is>
          <t>Adibras Administradora Brasileira de bens LTDA</t>
        </is>
      </c>
      <c r="C76" s="0" t="inlineStr">
        <is>
          <t>06/05/2025</t>
        </is>
      </c>
      <c r="D76" s="0" t="inlineStr">
        <is>
          <t>Custos com imóveis próprios:Administração dos imóveis</t>
        </is>
      </c>
      <c r="E76" s="0" t="inlineStr">
        <is>
          <t>Tx. Expediente  01/2025</t>
        </is>
      </c>
      <c r="F76" s="0" t="n">
        <v>2.51</v>
      </c>
      <c r="G76" s="0" t="inlineStr">
        <is>
          <t>Rua Da Alfândega N. 97 / Loja (187 1/2)</t>
        </is>
      </c>
      <c r="H76" s="0" t="inlineStr">
        <is>
          <t>Tx. Expediente</t>
        </is>
      </c>
    </row>
    <row r="77">
      <c r="A77" s="0" t="inlineStr">
        <is>
          <t>Caixa e equivalentes-caixa:Adibras</t>
        </is>
      </c>
      <c r="B77" s="0" t="inlineStr">
        <is>
          <t>Adibras Administradora Brasileira de bens LTDA</t>
        </is>
      </c>
      <c r="C77" s="0" t="inlineStr">
        <is>
          <t>06/05/2025</t>
        </is>
      </c>
      <c r="D77" s="0" t="inlineStr">
        <is>
          <t>Custos com imóveis próprios:Administração dos imóveis</t>
        </is>
      </c>
      <c r="E77" s="0" t="inlineStr">
        <is>
          <t>Tx. Expediente  01/2025</t>
        </is>
      </c>
      <c r="F77" s="0" t="n">
        <v>2.51</v>
      </c>
      <c r="G77" s="0" t="inlineStr">
        <is>
          <t>Rua Da Alfândega N. 97 / 1º E 2º Pavimentos (187 2/2)</t>
        </is>
      </c>
      <c r="H77" s="0" t="inlineStr">
        <is>
          <t>Tx. Expediente</t>
        </is>
      </c>
    </row>
    <row r="78">
      <c r="A78" s="0" t="inlineStr">
        <is>
          <t>Caixa e equivalentes-caixa:Adibras</t>
        </is>
      </c>
      <c r="B78" s="0" t="inlineStr">
        <is>
          <t>Adibras Administradora Brasileira de bens LTDA</t>
        </is>
      </c>
      <c r="C78" s="0" t="inlineStr">
        <is>
          <t>06/05/2025</t>
        </is>
      </c>
      <c r="D78" s="0" t="inlineStr">
        <is>
          <t>Custos com imóveis próprios:Administração dos imóveis</t>
        </is>
      </c>
      <c r="E78" s="0" t="inlineStr">
        <is>
          <t>Tx. Expediente  01/2025</t>
        </is>
      </c>
      <c r="F78" s="0" t="n">
        <v>3.01</v>
      </c>
      <c r="G78" s="0" t="inlineStr">
        <is>
          <t>Rua Miguel Couto N. 143 / 1º Andar (121 2/3)</t>
        </is>
      </c>
      <c r="H78" s="0" t="inlineStr">
        <is>
          <t>Tx. Expediente</t>
        </is>
      </c>
    </row>
    <row r="79">
      <c r="A79" s="0" t="inlineStr">
        <is>
          <t>Caixa e equivalentes-caixa:Adibras</t>
        </is>
      </c>
      <c r="B79" s="0" t="inlineStr">
        <is>
          <t>Adibras Administradora Brasileira de bens LTDA</t>
        </is>
      </c>
      <c r="C79" s="0" t="inlineStr">
        <is>
          <t>06/05/2025</t>
        </is>
      </c>
      <c r="D79" s="0" t="inlineStr">
        <is>
          <t>Custos com imóveis próprios:Administração dos imóveis</t>
        </is>
      </c>
      <c r="E79" s="0" t="inlineStr">
        <is>
          <t>Tx. Expediente  01/2025</t>
        </is>
      </c>
      <c r="F79" s="0" t="n">
        <v>3.01</v>
      </c>
      <c r="G79" s="0" t="inlineStr">
        <is>
          <t>Rua Miguel Couto N. 143 / 2º Andar (121 3/3)</t>
        </is>
      </c>
      <c r="H79" s="0" t="inlineStr">
        <is>
          <t>Tx. Expediente</t>
        </is>
      </c>
    </row>
    <row r="80">
      <c r="A80" s="0" t="inlineStr">
        <is>
          <t>Caixa e equivalentes-caixa:Adibras</t>
        </is>
      </c>
      <c r="B80" s="0" t="inlineStr">
        <is>
          <t>Adibras Administradora Brasileira de bens LTDA</t>
        </is>
      </c>
      <c r="C80" s="0" t="inlineStr">
        <is>
          <t>06/05/2025</t>
        </is>
      </c>
      <c r="D80" s="0" t="inlineStr">
        <is>
          <t>Custos com imóveis próprios:Administração dos imóveis</t>
        </is>
      </c>
      <c r="E80" s="0" t="inlineStr">
        <is>
          <t>Tx. Expediente  01/2025</t>
        </is>
      </c>
      <c r="F80" s="0" t="n">
        <v>5.47</v>
      </c>
      <c r="G80" s="0" t="inlineStr">
        <is>
          <t>PCA SAENS PENA,67 LJA/SOB/PTE.LOJA</t>
        </is>
      </c>
      <c r="H80" s="0" t="inlineStr">
        <is>
          <t>Tx. Expediente</t>
        </is>
      </c>
    </row>
    <row r="81">
      <c r="A81" s="0" t="inlineStr">
        <is>
          <t>Caixa e equivalentes-caixa:Adibras</t>
        </is>
      </c>
      <c r="B81" s="0" t="inlineStr">
        <is>
          <t>Adibras Administradora Brasileira de bens LTDA</t>
        </is>
      </c>
      <c r="C81" s="0" t="inlineStr">
        <is>
          <t>06/05/2025</t>
        </is>
      </c>
      <c r="D81" s="0" t="inlineStr">
        <is>
          <t>Custos com imóveis próprios:Administração dos imóveis</t>
        </is>
      </c>
      <c r="E81" s="0" t="inlineStr">
        <is>
          <t>Comissao S/divida ativa iptu 37/48 01/2025</t>
        </is>
      </c>
      <c r="F81" s="0" t="n">
        <v>28.88</v>
      </c>
      <c r="G81" s="0" t="inlineStr">
        <is>
          <t>Rua São Francisco Xavier N. 194 Sobrado E 196 Sobrado (132 3/5)</t>
        </is>
      </c>
      <c r="H81" s="0" t="inlineStr">
        <is>
          <t>Comissão</t>
        </is>
      </c>
    </row>
    <row r="82">
      <c r="A82" s="0" t="inlineStr">
        <is>
          <t>Caixa e equivalentes-caixa:Adibras</t>
        </is>
      </c>
      <c r="B82" s="0" t="inlineStr">
        <is>
          <t>Adibras Administradora Brasileira de bens LTDA</t>
        </is>
      </c>
      <c r="C82" s="0" t="inlineStr">
        <is>
          <t>07/05/2025</t>
        </is>
      </c>
      <c r="D82" s="0" t="inlineStr">
        <is>
          <t>Custos com imóveis próprios:Administração dos imóveis</t>
        </is>
      </c>
      <c r="E82" s="0" t="inlineStr">
        <is>
          <t>Comissao  11/2024</t>
        </is>
      </c>
      <c r="F82" s="0" t="n">
        <v>566.35</v>
      </c>
      <c r="G82" s="0" t="inlineStr">
        <is>
          <t>Av. Princesa Isabel N. 300 / Loja B Do Bloco A (128 1/1)</t>
        </is>
      </c>
      <c r="H82" s="0" t="inlineStr">
        <is>
          <t>Comissão</t>
        </is>
      </c>
    </row>
    <row r="83">
      <c r="A83" s="0" t="inlineStr">
        <is>
          <t>Caixa e equivalentes-caixa:Adibras</t>
        </is>
      </c>
      <c r="B83" s="0" t="inlineStr">
        <is>
          <t>Adibras Administradora Brasileira de bens LTDA</t>
        </is>
      </c>
      <c r="C83" s="0" t="inlineStr">
        <is>
          <t>07/05/2025</t>
        </is>
      </c>
      <c r="D83" s="0" t="inlineStr">
        <is>
          <t>Custos com imóveis próprios:Administração dos imóveis</t>
        </is>
      </c>
      <c r="E83" s="0" t="inlineStr">
        <is>
          <t>Comissao  12/2024</t>
        </is>
      </c>
      <c r="F83" s="0" t="n">
        <v>440.45</v>
      </c>
      <c r="G83" s="0" t="inlineStr">
        <is>
          <t>PCA SAENS PENA,67 LJA/SOB/PTE.LOJA</t>
        </is>
      </c>
      <c r="H83" s="0" t="inlineStr">
        <is>
          <t>Comissão</t>
        </is>
      </c>
    </row>
    <row r="84">
      <c r="A84" s="0" t="inlineStr">
        <is>
          <t>Caixa e equivalentes-caixa:Adibras</t>
        </is>
      </c>
      <c r="B84" s="0" t="inlineStr">
        <is>
          <t>Adibras Administradora Brasileira de bens LTDA</t>
        </is>
      </c>
      <c r="C84" s="0" t="inlineStr">
        <is>
          <t>07/05/2025</t>
        </is>
      </c>
      <c r="D84" s="0" t="inlineStr">
        <is>
          <t>Custos com imóveis próprios:Administração dos imóveis</t>
        </is>
      </c>
      <c r="E84" s="0" t="inlineStr">
        <is>
          <t>Passagem LIGHT- SOLICITAR 2º VIA DA 01/2025</t>
        </is>
      </c>
      <c r="F84" s="0" t="n">
        <v>15</v>
      </c>
      <c r="G84" s="0" t="inlineStr">
        <is>
          <t>Travessa do Ouvidor N. 17 / Loja 17-A</t>
        </is>
      </c>
      <c r="H84" s="0" t="inlineStr">
        <is>
          <t>Passagem</t>
        </is>
      </c>
    </row>
    <row r="85">
      <c r="A85" s="0" t="inlineStr">
        <is>
          <t>Caixa e equivalentes-caixa:Adibras</t>
        </is>
      </c>
      <c r="B85" s="0" t="inlineStr">
        <is>
          <t>Adibras Administradora Brasileira de bens LTDA</t>
        </is>
      </c>
      <c r="C85" s="0" t="inlineStr">
        <is>
          <t>07/05/2025</t>
        </is>
      </c>
      <c r="D85" s="0" t="inlineStr">
        <is>
          <t>Custos com imóveis próprios:Manutenção e Condomínio</t>
        </is>
      </c>
      <c r="E85" s="0" t="inlineStr">
        <is>
          <t>Obras R DO ROSARIO,112 LOJA E S/LJA- 01/0010</t>
        </is>
      </c>
      <c r="F85" s="0" t="n">
        <v>357</v>
      </c>
      <c r="G85" s="0" t="inlineStr">
        <is>
          <t>Rua Do Rosário N. 112 / Loja E Sobreloja (178 1.2/9)</t>
        </is>
      </c>
      <c r="H85" s="0" t="inlineStr">
        <is>
          <t>Manutenção</t>
        </is>
      </c>
    </row>
    <row r="86">
      <c r="A86" s="0" t="inlineStr">
        <is>
          <t>Caixa e equivalentes-caixa:Adibras</t>
        </is>
      </c>
      <c r="B86" s="0" t="inlineStr">
        <is>
          <t>Adibras Administradora Brasileira de bens LTDA</t>
        </is>
      </c>
      <c r="C86" s="0" t="inlineStr">
        <is>
          <t>07/05/2025</t>
        </is>
      </c>
      <c r="D86" s="0" t="inlineStr">
        <is>
          <t>Custos com imóveis próprios:Manutenção e Condomínio</t>
        </is>
      </c>
      <c r="E86" s="0" t="inlineStr">
        <is>
          <t>Obras R DO ROSARIO,112 LOJA E S/LJA- 01/0010</t>
        </is>
      </c>
      <c r="F86" s="0" t="n">
        <v>357</v>
      </c>
      <c r="G86" s="0" t="inlineStr">
        <is>
          <t>Rua Do Rosário N. 112 / Loja E Sobreloja (178 1.2/9)</t>
        </is>
      </c>
      <c r="H86" s="0" t="inlineStr">
        <is>
          <t>Manutenção</t>
        </is>
      </c>
    </row>
    <row r="87">
      <c r="A87" s="0" t="inlineStr">
        <is>
          <t>Caixa e equivalentes-caixa:Adibras</t>
        </is>
      </c>
      <c r="B87" s="0" t="inlineStr">
        <is>
          <t>Adibras Administradora Brasileira de bens LTDA</t>
        </is>
      </c>
      <c r="C87" s="0" t="inlineStr">
        <is>
          <t>07/05/2025</t>
        </is>
      </c>
      <c r="D87" s="0" t="inlineStr">
        <is>
          <t>Custos com imóveis próprios:Manutenção e Condomínio</t>
        </is>
      </c>
      <c r="E87" s="0" t="inlineStr">
        <is>
          <t>Obras R DO ROSARIO,112 PAV 2-SUP B A 01/0010</t>
        </is>
      </c>
      <c r="F87" s="0" t="n">
        <v>357</v>
      </c>
      <c r="G87" s="0" t="inlineStr">
        <is>
          <t>Rua Do Rosário N. 112 / 2º Andar (178 3/9)</t>
        </is>
      </c>
      <c r="H87" s="0" t="inlineStr">
        <is>
          <t>Manutenção</t>
        </is>
      </c>
    </row>
    <row r="88">
      <c r="A88" s="0" t="inlineStr">
        <is>
          <t>Caixa e equivalentes-caixa:Adibras</t>
        </is>
      </c>
      <c r="B88" s="0" t="inlineStr">
        <is>
          <t>Adibras Administradora Brasileira de bens LTDA</t>
        </is>
      </c>
      <c r="C88" s="0" t="inlineStr">
        <is>
          <t>07/05/2025</t>
        </is>
      </c>
      <c r="D88" s="0" t="inlineStr">
        <is>
          <t>Custos com imóveis próprios:Manutenção e Condomínio</t>
        </is>
      </c>
      <c r="E88" s="0" t="inlineStr">
        <is>
          <t>Condominio  01/2025</t>
        </is>
      </c>
      <c r="F88" s="0" t="n">
        <v>660</v>
      </c>
      <c r="G88" s="0" t="inlineStr">
        <is>
          <t>Rua Do Rosário N. 112 / 4º Andar (178 5/9)</t>
        </is>
      </c>
      <c r="H88" s="0" t="inlineStr">
        <is>
          <t>Condomínio</t>
        </is>
      </c>
    </row>
    <row r="89">
      <c r="A89" s="0" t="inlineStr">
        <is>
          <t>Caixa e equivalentes-caixa:Adibras</t>
        </is>
      </c>
      <c r="B89" s="0" t="inlineStr">
        <is>
          <t>Adibras Administradora Brasileira de bens LTDA</t>
        </is>
      </c>
      <c r="C89" s="0" t="inlineStr">
        <is>
          <t>07/05/2025</t>
        </is>
      </c>
      <c r="D89" s="0" t="inlineStr">
        <is>
          <t>Custos com imóveis próprios:Manutenção e Condomínio</t>
        </is>
      </c>
      <c r="E89" s="0" t="inlineStr">
        <is>
          <t>Obras restauraçao 01/0010</t>
        </is>
      </c>
      <c r="F89" s="0" t="n">
        <v>357</v>
      </c>
      <c r="G89" s="0" t="inlineStr">
        <is>
          <t>Rua Do Rosário N. 112 / 4º Andar (178 5/9)</t>
        </is>
      </c>
      <c r="H89" s="0" t="inlineStr">
        <is>
          <t>Manutenção</t>
        </is>
      </c>
    </row>
    <row r="90">
      <c r="A90" s="0" t="inlineStr">
        <is>
          <t>Caixa e equivalentes-caixa:Adibras</t>
        </is>
      </c>
      <c r="B90" s="0" t="inlineStr">
        <is>
          <t>Adibras Administradora Brasileira de bens LTDA</t>
        </is>
      </c>
      <c r="C90" s="0" t="inlineStr">
        <is>
          <t>07/05/2025</t>
        </is>
      </c>
      <c r="D90" s="0" t="inlineStr">
        <is>
          <t>Custos com imóveis próprios:Manutenção e Condomínio</t>
        </is>
      </c>
      <c r="E90" s="0" t="inlineStr">
        <is>
          <t>Condominio  01/2025</t>
        </is>
      </c>
      <c r="F90" s="0" t="n">
        <v>660</v>
      </c>
      <c r="G90" s="0" t="inlineStr">
        <is>
          <t>Rua Do Rosário N. 112 / 5º Andar (178 6/9)</t>
        </is>
      </c>
      <c r="H90" s="0" t="inlineStr">
        <is>
          <t>Condomínio</t>
        </is>
      </c>
    </row>
    <row r="91">
      <c r="A91" s="0" t="inlineStr">
        <is>
          <t>Caixa e equivalentes-caixa:Adibras</t>
        </is>
      </c>
      <c r="B91" s="0" t="inlineStr">
        <is>
          <t>Adibras Administradora Brasileira de bens LTDA</t>
        </is>
      </c>
      <c r="C91" s="0" t="inlineStr">
        <is>
          <t>07/05/2025</t>
        </is>
      </c>
      <c r="D91" s="0" t="inlineStr">
        <is>
          <t>Custos com imóveis próprios:Manutenção e Condomínio</t>
        </is>
      </c>
      <c r="E91" s="0" t="inlineStr">
        <is>
          <t>Obras restauraçao 01/0010</t>
        </is>
      </c>
      <c r="F91" s="0" t="n">
        <v>357</v>
      </c>
      <c r="G91" s="0" t="inlineStr">
        <is>
          <t>Rua Do Rosário N. 112 / 5º Andar (178 6/9)</t>
        </is>
      </c>
      <c r="H91" s="0" t="inlineStr">
        <is>
          <t>Manutenção</t>
        </is>
      </c>
    </row>
    <row r="92">
      <c r="A92" s="0" t="inlineStr">
        <is>
          <t>Caixa e equivalentes-caixa:Adibras</t>
        </is>
      </c>
      <c r="B92" s="0" t="inlineStr">
        <is>
          <t>Adibras Administradora Brasileira de bens LTDA</t>
        </is>
      </c>
      <c r="C92" s="0" t="inlineStr">
        <is>
          <t>07/05/2025</t>
        </is>
      </c>
      <c r="D92" s="0" t="inlineStr">
        <is>
          <t>Custos com imóveis próprios:Manutenção e Condomínio</t>
        </is>
      </c>
      <c r="E92" s="0" t="inlineStr">
        <is>
          <t>Condominio  01/2025</t>
        </is>
      </c>
      <c r="F92" s="0" t="n">
        <v>660</v>
      </c>
      <c r="G92" s="0" t="inlineStr">
        <is>
          <t>Rua Do Rosário N. 112 / 6º Andar (178 7/9)</t>
        </is>
      </c>
      <c r="H92" s="0" t="inlineStr">
        <is>
          <t>Condomínio</t>
        </is>
      </c>
    </row>
    <row r="93">
      <c r="A93" s="0" t="inlineStr">
        <is>
          <t>Caixa e equivalentes-caixa:Adibras</t>
        </is>
      </c>
      <c r="B93" s="0" t="inlineStr">
        <is>
          <t>Adibras Administradora Brasileira de bens LTDA</t>
        </is>
      </c>
      <c r="C93" s="0" t="inlineStr">
        <is>
          <t>07/05/2025</t>
        </is>
      </c>
      <c r="D93" s="0" t="inlineStr">
        <is>
          <t>Custos com imóveis próprios:Manutenção e Condomínio</t>
        </is>
      </c>
      <c r="E93" s="0" t="inlineStr">
        <is>
          <t>Obras restauraçao 01/0010</t>
        </is>
      </c>
      <c r="F93" s="0" t="n">
        <v>357</v>
      </c>
      <c r="G93" s="0" t="inlineStr">
        <is>
          <t>Rua Do Rosário N. 112 / 6º Andar (178 7/9)</t>
        </is>
      </c>
      <c r="H93" s="0" t="inlineStr">
        <is>
          <t>Manutenção</t>
        </is>
      </c>
    </row>
    <row r="94">
      <c r="A94" s="0" t="inlineStr">
        <is>
          <t>Caixa e equivalentes-caixa:Adibras</t>
        </is>
      </c>
      <c r="B94" s="0" t="inlineStr">
        <is>
          <t>Adibras Administradora Brasileira de bens LTDA</t>
        </is>
      </c>
      <c r="C94" s="0" t="inlineStr">
        <is>
          <t>07/05/2025</t>
        </is>
      </c>
      <c r="D94" s="0" t="inlineStr">
        <is>
          <t>Custos com imóveis próprios:Manutenção e Condomínio</t>
        </is>
      </c>
      <c r="E94" s="0" t="inlineStr">
        <is>
          <t>Condominio  01/2025</t>
        </is>
      </c>
      <c r="F94" s="0" t="n">
        <v>660</v>
      </c>
      <c r="G94" s="0" t="inlineStr">
        <is>
          <t>Rua Do Rosário N. 112 / 7º Andar (178 8/9)</t>
        </is>
      </c>
      <c r="H94" s="0" t="inlineStr">
        <is>
          <t>Condomínio</t>
        </is>
      </c>
    </row>
    <row r="95">
      <c r="A95" s="0" t="inlineStr">
        <is>
          <t>Caixa e equivalentes-caixa:Adibras</t>
        </is>
      </c>
      <c r="B95" s="0" t="inlineStr">
        <is>
          <t>Adibras Administradora Brasileira de bens LTDA</t>
        </is>
      </c>
      <c r="C95" s="0" t="inlineStr">
        <is>
          <t>07/05/2025</t>
        </is>
      </c>
      <c r="D95" s="0" t="inlineStr">
        <is>
          <t>Custos com imóveis próprios:Manutenção e Condomínio</t>
        </is>
      </c>
      <c r="E95" s="0" t="inlineStr">
        <is>
          <t>Obras restauraçao 01/0010</t>
        </is>
      </c>
      <c r="F95" s="0" t="n">
        <v>357</v>
      </c>
      <c r="G95" s="0" t="inlineStr">
        <is>
          <t>Rua Do Rosário N. 112 / 7º Andar (178 8/9)</t>
        </is>
      </c>
      <c r="H95" s="0" t="inlineStr">
        <is>
          <t>Manutenção</t>
        </is>
      </c>
    </row>
    <row r="96">
      <c r="A96" s="0" t="inlineStr">
        <is>
          <t>Caixa e equivalentes-caixa:Adibras</t>
        </is>
      </c>
      <c r="B96" s="0" t="inlineStr">
        <is>
          <t>Adibras Administradora Brasileira de bens LTDA</t>
        </is>
      </c>
      <c r="C96" s="0" t="inlineStr">
        <is>
          <t>07/05/2025</t>
        </is>
      </c>
      <c r="D96" s="0" t="inlineStr">
        <is>
          <t>Custos com imóveis próprios:Manutenção e Condomínio</t>
        </is>
      </c>
      <c r="E96" s="0" t="inlineStr">
        <is>
          <t>Condominio  01/2025</t>
        </is>
      </c>
      <c r="F96" s="0" t="n">
        <v>660</v>
      </c>
      <c r="G96" s="0" t="inlineStr">
        <is>
          <t>Rua Do Rosário N. 112 / 8º Andar  /  Sala 801 (178 9.1/9)</t>
        </is>
      </c>
      <c r="H96" s="0" t="inlineStr">
        <is>
          <t>Condomínio</t>
        </is>
      </c>
    </row>
    <row r="97">
      <c r="A97" s="0" t="inlineStr">
        <is>
          <t>Caixa e equivalentes-caixa:Adibras</t>
        </is>
      </c>
      <c r="B97" s="0" t="inlineStr">
        <is>
          <t>Adibras Administradora Brasileira de bens LTDA</t>
        </is>
      </c>
      <c r="C97" s="0" t="inlineStr">
        <is>
          <t>07/05/2025</t>
        </is>
      </c>
      <c r="D97" s="0" t="inlineStr">
        <is>
          <t>Custos com imóveis próprios:Manutenção e Condomínio</t>
        </is>
      </c>
      <c r="E97" s="0" t="inlineStr">
        <is>
          <t>Obras restauraçao 01/0010</t>
        </is>
      </c>
      <c r="F97" s="0" t="n">
        <v>357</v>
      </c>
      <c r="G97" s="0" t="inlineStr">
        <is>
          <t>Rua Do Rosário N. 112 / 8º Andar  /  Sala 801 (178 9.1/9)</t>
        </is>
      </c>
      <c r="H97" s="0" t="inlineStr">
        <is>
          <t>Manutenção</t>
        </is>
      </c>
    </row>
    <row r="98">
      <c r="A98" s="0" t="inlineStr">
        <is>
          <t>Caixa e equivalentes-caixa:Adibras</t>
        </is>
      </c>
      <c r="B98" s="0" t="inlineStr">
        <is>
          <t>Adibras Administradora Brasileira de bens LTDA</t>
        </is>
      </c>
      <c r="C98" s="0" t="inlineStr">
        <is>
          <t>07/05/2025</t>
        </is>
      </c>
      <c r="D98" s="0" t="inlineStr">
        <is>
          <t>Custos com imóveis próprios:Manutenção e Condomínio</t>
        </is>
      </c>
      <c r="E98" s="0" t="inlineStr">
        <is>
          <t>Obras R DO ROSARIO,112801 PTE1 SUP 01/0010</t>
        </is>
      </c>
      <c r="F98" s="0" t="n">
        <v>357</v>
      </c>
      <c r="G98" s="0" t="inlineStr">
        <is>
          <t>Rua Do Rosário N. 112 / 8º Andar Corresp Ao 9º  /  Sala 801 Parte (178 9.2/9)</t>
        </is>
      </c>
      <c r="H98" s="0" t="inlineStr">
        <is>
          <t>Manutenção</t>
        </is>
      </c>
    </row>
    <row r="99">
      <c r="A99" s="0" t="inlineStr">
        <is>
          <t>Caixa e equivalentes-caixa:Adibras</t>
        </is>
      </c>
      <c r="B99" s="0" t="inlineStr">
        <is>
          <t>Adibras Administradora Brasileira de bens LTDA</t>
        </is>
      </c>
      <c r="C99" s="0" t="inlineStr">
        <is>
          <t>08/05/2025</t>
        </is>
      </c>
      <c r="D99" s="0" t="inlineStr">
        <is>
          <t>Custos com imóveis próprios:Manutenção e Condomínio</t>
        </is>
      </c>
      <c r="E99" s="0" t="inlineStr">
        <is>
          <t>Consumo Luz  12/2024</t>
        </is>
      </c>
      <c r="F99" s="0" t="n">
        <v>33.35</v>
      </c>
      <c r="G99" s="0" t="inlineStr">
        <is>
          <t>Rua Do Rosário N. 112 / 6º Andar (178 7/9)</t>
        </is>
      </c>
      <c r="H99" s="0" t="inlineStr">
        <is>
          <t>Luz (consumo)</t>
        </is>
      </c>
    </row>
    <row r="100">
      <c r="A100" s="0" t="inlineStr">
        <is>
          <t>Caixa e equivalentes-caixa:Adibras</t>
        </is>
      </c>
      <c r="B100" s="0" t="inlineStr">
        <is>
          <t>Adibras Administradora Brasileira de bens LTDA</t>
        </is>
      </c>
      <c r="C100" s="0" t="inlineStr">
        <is>
          <t>08/05/2025</t>
        </is>
      </c>
      <c r="D100" s="0" t="inlineStr">
        <is>
          <t>Custos com imóveis próprios:Manutenção e Condomínio</t>
        </is>
      </c>
      <c r="E100" s="0" t="inlineStr">
        <is>
          <t>Consumo Luz Ref.Pav.3  45,00% 12/2024</t>
        </is>
      </c>
      <c r="F100" s="0" t="n">
        <v>49.98</v>
      </c>
      <c r="G100" s="0" t="inlineStr">
        <is>
          <t>R VISCONDE DE INHAUMA,62 2ºe3ºANDARES</t>
        </is>
      </c>
      <c r="H100" s="0" t="inlineStr">
        <is>
          <t>Luz (consumo)</t>
        </is>
      </c>
    </row>
    <row r="101">
      <c r="A101" s="0" t="inlineStr">
        <is>
          <t>Caixa e equivalentes-caixa:Adibras</t>
        </is>
      </c>
      <c r="B101" s="0" t="inlineStr">
        <is>
          <t>Adibras Administradora Brasileira de bens LTDA</t>
        </is>
      </c>
      <c r="C101" s="0" t="inlineStr">
        <is>
          <t>08/05/2025</t>
        </is>
      </c>
      <c r="D101" s="0" t="inlineStr">
        <is>
          <t>Custos com imóveis próprios:Manutenção e Condomínio</t>
        </is>
      </c>
      <c r="E101" s="0" t="inlineStr">
        <is>
          <t>Consumo Luz Ref.Pav.2  45,00% 12/2024</t>
        </is>
      </c>
      <c r="F101" s="0" t="n">
        <v>49.98</v>
      </c>
      <c r="G101" s="0" t="inlineStr">
        <is>
          <t>R VISCONDE DE INHAUMA,62 2ºe3ºANDARES</t>
        </is>
      </c>
      <c r="H101" s="0" t="inlineStr">
        <is>
          <t>Luz (consumo)</t>
        </is>
      </c>
    </row>
    <row r="102">
      <c r="A102" s="0" t="inlineStr">
        <is>
          <t>Caixa e equivalentes-caixa:Adibras</t>
        </is>
      </c>
      <c r="B102" s="0" t="inlineStr">
        <is>
          <t>Adibras Administradora Brasileira de bens LTDA</t>
        </is>
      </c>
      <c r="C102" s="0" t="inlineStr">
        <is>
          <t>08/05/2025</t>
        </is>
      </c>
      <c r="D102" s="0" t="inlineStr">
        <is>
          <t>Custos com imóveis próprios:Manutenção e Condomínio</t>
        </is>
      </c>
      <c r="E102" s="0" t="inlineStr">
        <is>
          <t>Consumo Luz  12/2024</t>
        </is>
      </c>
      <c r="F102" s="0" t="n">
        <v>108.27</v>
      </c>
      <c r="G102" s="0" t="inlineStr">
        <is>
          <t>Rua Pedro I N. 14 / Sobrado (171 2/2)</t>
        </is>
      </c>
      <c r="H102" s="0" t="inlineStr">
        <is>
          <t>Luz (consumo)</t>
        </is>
      </c>
    </row>
    <row r="103">
      <c r="A103" s="0" t="inlineStr">
        <is>
          <t>Caixa e equivalentes-caixa:Adibras</t>
        </is>
      </c>
      <c r="B103" s="0" t="inlineStr">
        <is>
          <t>Adibras Administradora Brasileira de bens LTDA</t>
        </is>
      </c>
      <c r="C103" s="0" t="inlineStr">
        <is>
          <t>08/05/2025</t>
        </is>
      </c>
      <c r="D103" s="0" t="inlineStr">
        <is>
          <t>Custos com imóveis próprios:Manutenção e Condomínio</t>
        </is>
      </c>
      <c r="E103" s="0" t="inlineStr">
        <is>
          <t>Consumo Luz  12/2024</t>
        </is>
      </c>
      <c r="F103" s="0" t="n">
        <v>108.53</v>
      </c>
      <c r="G103" s="0" t="inlineStr">
        <is>
          <t>Travessa do Ouvidor N. 17 / Loja 17-A</t>
        </is>
      </c>
      <c r="H103" s="0" t="inlineStr">
        <is>
          <t>Luz (consumo)</t>
        </is>
      </c>
    </row>
    <row r="104">
      <c r="A104" s="0" t="inlineStr">
        <is>
          <t>Caixa e equivalentes-caixa:Adibras</t>
        </is>
      </c>
      <c r="B104" s="0" t="inlineStr">
        <is>
          <t>Adibras Administradora Brasileira de bens LTDA</t>
        </is>
      </c>
      <c r="C104" s="0" t="inlineStr">
        <is>
          <t>08/05/2025</t>
        </is>
      </c>
      <c r="D104" s="0" t="inlineStr">
        <is>
          <t>Custos com imóveis próprios:Manutenção e Condomínio</t>
        </is>
      </c>
      <c r="E104" s="0" t="inlineStr">
        <is>
          <t>Consumo Luz  12/2024</t>
        </is>
      </c>
      <c r="F104" s="0" t="n">
        <v>54.14</v>
      </c>
      <c r="G104" s="0" t="inlineStr">
        <is>
          <t>Rua Sacadura Cabral N. 151</t>
        </is>
      </c>
      <c r="H104" s="0" t="inlineStr">
        <is>
          <t>Luz (consumo)</t>
        </is>
      </c>
    </row>
    <row r="105">
      <c r="A105" s="0" t="inlineStr">
        <is>
          <t>Caixa e equivalentes-caixa:Adibras</t>
        </is>
      </c>
      <c r="B105" s="0" t="inlineStr">
        <is>
          <t>Adibras Administradora Brasileira de bens LTDA</t>
        </is>
      </c>
      <c r="C105" s="0" t="inlineStr">
        <is>
          <t>08/05/2025</t>
        </is>
      </c>
      <c r="D105" s="0" t="inlineStr">
        <is>
          <t>Custos com imóveis próprios:Manutenção e Condomínio</t>
        </is>
      </c>
      <c r="E105" s="0" t="inlineStr">
        <is>
          <t>Consumo Luz  12/2024</t>
        </is>
      </c>
      <c r="F105" s="0" t="n">
        <v>36.13</v>
      </c>
      <c r="G105" s="0" t="inlineStr">
        <is>
          <t>Rua Sete De Setembro N. 92 / Loja 112 (137 1/1)</t>
        </is>
      </c>
      <c r="H105" s="0" t="inlineStr">
        <is>
          <t>Luz (consumo)</t>
        </is>
      </c>
    </row>
    <row r="106">
      <c r="A106" s="0" t="inlineStr">
        <is>
          <t>Caixa e equivalentes-caixa:Adibras</t>
        </is>
      </c>
      <c r="B106" s="0" t="inlineStr">
        <is>
          <t>Adibras Administradora Brasileira de bens LTDA</t>
        </is>
      </c>
      <c r="C106" s="0" t="inlineStr">
        <is>
          <t>08/05/2025</t>
        </is>
      </c>
      <c r="D106" s="0" t="inlineStr">
        <is>
          <t>Custos com imóveis próprios:Manutenção e Condomínio</t>
        </is>
      </c>
      <c r="E106" s="0" t="inlineStr">
        <is>
          <t>Consumo Luz  12/2024</t>
        </is>
      </c>
      <c r="F106" s="0" t="n">
        <v>108.44</v>
      </c>
      <c r="G106" s="0" t="inlineStr">
        <is>
          <t>Rua Da Quitanda N. 191 / Loja A (201 1/1)</t>
        </is>
      </c>
      <c r="H106" s="0" t="inlineStr">
        <is>
          <t>Luz (consumo)</t>
        </is>
      </c>
    </row>
    <row r="107">
      <c r="A107" s="0" t="inlineStr">
        <is>
          <t>Caixa e equivalentes-caixa:Adibras</t>
        </is>
      </c>
      <c r="B107" s="0" t="inlineStr">
        <is>
          <t>Adibras Administradora Brasileira de bens LTDA</t>
        </is>
      </c>
      <c r="C107" s="0" t="inlineStr">
        <is>
          <t>08/05/2025</t>
        </is>
      </c>
      <c r="D107" s="0" t="inlineStr">
        <is>
          <t>Custos com imóveis próprios:Manutenção e Condomínio</t>
        </is>
      </c>
      <c r="E107" s="0" t="inlineStr">
        <is>
          <t>Consumo Luz  12/2024</t>
        </is>
      </c>
      <c r="F107" s="0" t="n">
        <v>32.53</v>
      </c>
      <c r="G107" s="0" t="inlineStr">
        <is>
          <t>Rua Do Rosário N. 112 / 4º Andar (178 5/9)</t>
        </is>
      </c>
      <c r="H107" s="0" t="inlineStr">
        <is>
          <t>Luz (consumo)</t>
        </is>
      </c>
    </row>
    <row r="108">
      <c r="A108" s="0" t="inlineStr">
        <is>
          <t>Caixa e equivalentes-caixa:Adibras</t>
        </is>
      </c>
      <c r="B108" s="0" t="inlineStr">
        <is>
          <t>Adibras Administradora Brasileira de bens LTDA</t>
        </is>
      </c>
      <c r="C108" s="0" t="inlineStr">
        <is>
          <t>08/05/2025</t>
        </is>
      </c>
      <c r="D108" s="0" t="inlineStr">
        <is>
          <t>Custos com imóveis próprios:Manutenção e Condomínio</t>
        </is>
      </c>
      <c r="E108" s="0" t="inlineStr">
        <is>
          <t>Consumo Luz  12/2024</t>
        </is>
      </c>
      <c r="F108" s="0" t="n">
        <v>33.35</v>
      </c>
      <c r="G108" s="0" t="inlineStr">
        <is>
          <t>Rua Do Rosário N. 112 / 5º Andar (178 6/9)</t>
        </is>
      </c>
      <c r="H108" s="0" t="inlineStr">
        <is>
          <t>Luz (consumo)</t>
        </is>
      </c>
    </row>
    <row r="109">
      <c r="A109" s="0" t="inlineStr">
        <is>
          <t>Caixa e equivalentes-caixa:Adibras</t>
        </is>
      </c>
      <c r="B109" s="0" t="inlineStr">
        <is>
          <t>Adibras Administradora Brasileira de bens LTDA</t>
        </is>
      </c>
      <c r="C109" s="0" t="inlineStr">
        <is>
          <t>08/05/2025</t>
        </is>
      </c>
      <c r="D109" s="0" t="inlineStr">
        <is>
          <t>Custos com imóveis próprios:Manutenção e Condomínio</t>
        </is>
      </c>
      <c r="E109" s="0" t="inlineStr">
        <is>
          <t>Consumo Luz  12/2024</t>
        </is>
      </c>
      <c r="F109" s="0" t="n">
        <v>33.35</v>
      </c>
      <c r="G109" s="0" t="inlineStr">
        <is>
          <t>Rua Do Rosário N. 112 / 8º Andar  /  Sala 801 (178 9.1/9)</t>
        </is>
      </c>
      <c r="H109" s="0" t="inlineStr">
        <is>
          <t>Luz (consumo)</t>
        </is>
      </c>
    </row>
    <row r="110">
      <c r="A110" s="0" t="inlineStr">
        <is>
          <t>Caixa e equivalentes-caixa:Adibras</t>
        </is>
      </c>
      <c r="B110" s="0" t="inlineStr">
        <is>
          <t>Adibras Administradora Brasileira de bens LTDA</t>
        </is>
      </c>
      <c r="C110" s="0" t="inlineStr">
        <is>
          <t>08/05/2025</t>
        </is>
      </c>
      <c r="D110" s="0" t="inlineStr">
        <is>
          <t>Custos com imóveis próprios:Manutenção e Condomínio</t>
        </is>
      </c>
      <c r="E110" s="0" t="inlineStr">
        <is>
          <t>Consumo Luz  12/2024</t>
        </is>
      </c>
      <c r="F110" s="0" t="n">
        <v>25.76</v>
      </c>
      <c r="G110" s="0" t="inlineStr">
        <is>
          <t>R DO ACRE,65 S/LJA</t>
        </is>
      </c>
      <c r="H110" s="0" t="inlineStr">
        <is>
          <t>Luz (consumo)</t>
        </is>
      </c>
    </row>
    <row r="111">
      <c r="A111" s="0" t="inlineStr">
        <is>
          <t>Caixa e equivalentes-caixa:Adibras</t>
        </is>
      </c>
      <c r="B111" s="0" t="inlineStr">
        <is>
          <t>Adibras Administradora Brasileira de bens LTDA</t>
        </is>
      </c>
      <c r="C111" s="0" t="inlineStr">
        <is>
          <t>09/05/2025</t>
        </is>
      </c>
      <c r="D111" s="0" t="inlineStr">
        <is>
          <t>Custos com imóveis próprios:Manutenção e Condomínio</t>
        </is>
      </c>
      <c r="E111" s="0" t="inlineStr">
        <is>
          <t>Condominio  01/2025</t>
        </is>
      </c>
      <c r="F111" s="0" t="n">
        <v>1214.61</v>
      </c>
      <c r="G111" s="0" t="inlineStr">
        <is>
          <t>Rua Da Alfândega N. 25 / Sala 602 (124 1/1)</t>
        </is>
      </c>
      <c r="H111" s="0" t="inlineStr">
        <is>
          <t>Condomínio</t>
        </is>
      </c>
    </row>
    <row r="112">
      <c r="A112" s="0" t="inlineStr">
        <is>
          <t>Caixa e equivalentes-caixa:Adibras</t>
        </is>
      </c>
      <c r="B112" s="0" t="inlineStr">
        <is>
          <t>Adibras Administradora Brasileira de bens LTDA</t>
        </is>
      </c>
      <c r="C112" s="0" t="inlineStr">
        <is>
          <t>09/05/2025</t>
        </is>
      </c>
      <c r="E112" s="0" t="inlineStr">
        <is>
          <t>Fundo Obras R SANTOS TITARA,159/101 FTE 01/2025</t>
        </is>
      </c>
      <c r="F112" s="0" t="n">
        <v>25</v>
      </c>
      <c r="G112" s="0" t="inlineStr">
        <is>
          <t>R SANTOS TITARA,159/101 FTE</t>
        </is>
      </c>
    </row>
    <row r="113">
      <c r="A113" s="0" t="inlineStr">
        <is>
          <t>Caixa e equivalentes-caixa:Adibras</t>
        </is>
      </c>
      <c r="B113" s="0" t="inlineStr">
        <is>
          <t>Adibras Administradora Brasileira de bens LTDA</t>
        </is>
      </c>
      <c r="C113" s="0" t="inlineStr">
        <is>
          <t>09/05/2025</t>
        </is>
      </c>
      <c r="D113" s="0" t="inlineStr">
        <is>
          <t>Custos com imóveis próprios:Manutenção e Condomínio</t>
        </is>
      </c>
      <c r="E113" s="0" t="inlineStr">
        <is>
          <t>Diversos Pg JMPR Eng.Autovistoria do 02/0002</t>
        </is>
      </c>
      <c r="F113" s="0" t="n">
        <v>394.26</v>
      </c>
      <c r="G113" s="0" t="inlineStr">
        <is>
          <t>Rua Miguel Couto N. 143 / 1º Andar (121 2/3)</t>
        </is>
      </c>
      <c r="H113" s="0" t="inlineStr">
        <is>
          <t>Manutenção</t>
        </is>
      </c>
    </row>
    <row r="114">
      <c r="A114" s="0" t="inlineStr">
        <is>
          <t>Caixa e equivalentes-caixa:Adibras</t>
        </is>
      </c>
      <c r="B114" s="0" t="inlineStr">
        <is>
          <t>Adibras Administradora Brasileira de bens LTDA</t>
        </is>
      </c>
      <c r="C114" s="0" t="inlineStr">
        <is>
          <t>09/05/2025</t>
        </is>
      </c>
      <c r="D114" s="0" t="inlineStr">
        <is>
          <t>Custos com imóveis próprios:Manutenção e Condomínio</t>
        </is>
      </c>
      <c r="E114" s="0" t="inlineStr">
        <is>
          <t>Obras Instalação Tela e grade ralo 01/2025</t>
        </is>
      </c>
      <c r="F114" s="0" t="n">
        <v>256.5</v>
      </c>
      <c r="G114" s="0" t="inlineStr">
        <is>
          <t>Rua Moraes E Silva N. 153  / Casa (132 4/5)</t>
        </is>
      </c>
      <c r="H114" s="0" t="inlineStr">
        <is>
          <t>Manutenção</t>
        </is>
      </c>
    </row>
    <row r="115">
      <c r="A115" s="0" t="inlineStr">
        <is>
          <t>Caixa e equivalentes-caixa:Adibras</t>
        </is>
      </c>
      <c r="B115" s="0" t="inlineStr">
        <is>
          <t>Adibras Administradora Brasileira de bens LTDA</t>
        </is>
      </c>
      <c r="C115" s="0" t="inlineStr">
        <is>
          <t>09/05/2025</t>
        </is>
      </c>
      <c r="D115" s="0" t="inlineStr">
        <is>
          <t>Custos com imóveis próprios:Administração dos imóveis</t>
        </is>
      </c>
      <c r="E115" s="0" t="inlineStr">
        <is>
          <t>Passagem Passagem para o Fórum do Méeir 01/2025</t>
        </is>
      </c>
      <c r="F115" s="0" t="n">
        <v>2.4</v>
      </c>
      <c r="G115" s="0" t="inlineStr">
        <is>
          <t>Rua Do Rosário N. 112 / 6º Andar (178 7/9)</t>
        </is>
      </c>
      <c r="H115" s="0" t="inlineStr">
        <is>
          <t>Passagem</t>
        </is>
      </c>
    </row>
    <row r="116">
      <c r="A116" s="0" t="inlineStr">
        <is>
          <t>Caixa e equivalentes-caixa:Adibras</t>
        </is>
      </c>
      <c r="B116" s="0" t="inlineStr">
        <is>
          <t>Adibras Administradora Brasileira de bens LTDA</t>
        </is>
      </c>
      <c r="C116" s="0" t="inlineStr">
        <is>
          <t>10/05/2025</t>
        </is>
      </c>
      <c r="D116" s="0" t="inlineStr">
        <is>
          <t>Custos com imóveis próprios:Manutenção e Condomínio</t>
        </is>
      </c>
      <c r="E116" s="0" t="inlineStr">
        <is>
          <t>Condominio  01/2025</t>
        </is>
      </c>
      <c r="F116" s="0" t="n">
        <v>3164.5</v>
      </c>
      <c r="G116" s="0" t="inlineStr">
        <is>
          <t>Travessa do Ouvidor N. 17 / Loja 17-A</t>
        </is>
      </c>
      <c r="H116" s="0" t="inlineStr">
        <is>
          <t>Condomínio</t>
        </is>
      </c>
    </row>
    <row r="117">
      <c r="A117" s="0" t="inlineStr">
        <is>
          <t>Caixa e equivalentes-caixa:Adibras</t>
        </is>
      </c>
      <c r="B117" s="0" t="inlineStr">
        <is>
          <t>Adibras Administradora Brasileira de bens LTDA</t>
        </is>
      </c>
      <c r="C117" s="0" t="inlineStr">
        <is>
          <t>13/05/2025</t>
        </is>
      </c>
      <c r="D117" s="0" t="inlineStr">
        <is>
          <t>Custos com imóveis próprios:Administração dos imóveis</t>
        </is>
      </c>
      <c r="E117" s="0" t="inlineStr">
        <is>
          <t>Comissao  12/2024</t>
        </is>
      </c>
      <c r="F117" s="0" t="n">
        <v>275</v>
      </c>
      <c r="G117" s="0" t="inlineStr">
        <is>
          <t>R VISC DE INHAUMA, 62 LJA E SOBRELOJA</t>
        </is>
      </c>
      <c r="H117" s="0" t="inlineStr">
        <is>
          <t>Comissão</t>
        </is>
      </c>
    </row>
    <row r="118">
      <c r="A118" s="0" t="inlineStr">
        <is>
          <t>Caixa e equivalentes-caixa:Adibras</t>
        </is>
      </c>
      <c r="B118" s="0" t="inlineStr">
        <is>
          <t>Adibras Administradora Brasileira de bens LTDA</t>
        </is>
      </c>
      <c r="C118" s="0" t="inlineStr">
        <is>
          <t>13/05/2025</t>
        </is>
      </c>
      <c r="D118" s="0" t="inlineStr">
        <is>
          <t>Custos com imóveis próprios:Administração dos imóveis</t>
        </is>
      </c>
      <c r="E118" s="0" t="inlineStr">
        <is>
          <t>Comissao  12/2024</t>
        </is>
      </c>
      <c r="F118" s="0" t="n">
        <v>111.72</v>
      </c>
      <c r="G118" s="0" t="inlineStr">
        <is>
          <t>Rua Senador Dantas N. 44 / Loja A (177 1/1)</t>
        </is>
      </c>
      <c r="H118" s="0" t="inlineStr">
        <is>
          <t>Comissão</t>
        </is>
      </c>
    </row>
    <row r="119">
      <c r="A119" s="0" t="inlineStr">
        <is>
          <t>Caixa e equivalentes-caixa:Adibras</t>
        </is>
      </c>
      <c r="B119" s="0" t="inlineStr">
        <is>
          <t>Adibras Administradora Brasileira de bens LTDA</t>
        </is>
      </c>
      <c r="C119" s="0" t="inlineStr">
        <is>
          <t>13/05/2025</t>
        </is>
      </c>
      <c r="D119" s="0" t="inlineStr">
        <is>
          <t>Custos com imóveis próprios:Administração dos imóveis</t>
        </is>
      </c>
      <c r="E119" s="0" t="inlineStr">
        <is>
          <t>Comissao  12/2024</t>
        </is>
      </c>
      <c r="F119" s="0" t="n">
        <v>299.52</v>
      </c>
      <c r="G119" s="0" t="inlineStr">
        <is>
          <t>Rua Do Rosário N. 112 / Loja E Sobreloja (178 1.2/9)</t>
        </is>
      </c>
      <c r="H119" s="0" t="inlineStr">
        <is>
          <t>Comissão</t>
        </is>
      </c>
    </row>
    <row r="120">
      <c r="A120" s="0" t="inlineStr">
        <is>
          <t>Caixa e equivalentes-caixa:Adibras</t>
        </is>
      </c>
      <c r="B120" s="0" t="inlineStr">
        <is>
          <t>Adibras Administradora Brasileira de bens LTDA</t>
        </is>
      </c>
      <c r="C120" s="0" t="inlineStr">
        <is>
          <t>13/05/2025</t>
        </is>
      </c>
      <c r="D120" s="0" t="inlineStr">
        <is>
          <t>Custos com imóveis próprios:Administração dos imóveis</t>
        </is>
      </c>
      <c r="E120" s="0" t="inlineStr">
        <is>
          <t>Comissao  12/2024</t>
        </is>
      </c>
      <c r="F120" s="0" t="n">
        <v>16.24</v>
      </c>
      <c r="G120" s="0" t="inlineStr">
        <is>
          <t>Rua Do Rosário N. 112 / 8º Andar Corresp Ao 9º  /  Sala 801 Parte (178 9.2/9)</t>
        </is>
      </c>
      <c r="H120" s="0" t="inlineStr">
        <is>
          <t>Comissão</t>
        </is>
      </c>
    </row>
    <row r="121">
      <c r="A121" s="0" t="inlineStr">
        <is>
          <t>Caixa e equivalentes-caixa:Adibras</t>
        </is>
      </c>
      <c r="B121" s="0" t="inlineStr">
        <is>
          <t>Adibras Administradora Brasileira de bens LTDA</t>
        </is>
      </c>
      <c r="C121" s="0" t="inlineStr">
        <is>
          <t>13/05/2025</t>
        </is>
      </c>
      <c r="D121" s="0" t="inlineStr">
        <is>
          <t>Custos com imóveis próprios:Administração dos imóveis</t>
        </is>
      </c>
      <c r="E121" s="0" t="inlineStr">
        <is>
          <t>Comissao  12/2024</t>
        </is>
      </c>
      <c r="F121" s="0" t="n">
        <v>63.5</v>
      </c>
      <c r="G121" s="0" t="inlineStr">
        <is>
          <t>Rua Moraes E Silva N. 153  / Casa (132 4/5)</t>
        </is>
      </c>
      <c r="H121" s="0" t="inlineStr">
        <is>
          <t>Comissão</t>
        </is>
      </c>
    </row>
    <row r="122">
      <c r="A122" s="0" t="inlineStr">
        <is>
          <t>Caixa e equivalentes-caixa:Adibras</t>
        </is>
      </c>
      <c r="B122" s="0" t="inlineStr">
        <is>
          <t>Adibras Administradora Brasileira de bens LTDA</t>
        </is>
      </c>
      <c r="C122" s="0" t="inlineStr">
        <is>
          <t>13/05/2025</t>
        </is>
      </c>
      <c r="D122" s="0" t="inlineStr">
        <is>
          <t>Custos com imóveis próprios:Manutenção e Condomínio</t>
        </is>
      </c>
      <c r="E122" s="0" t="inlineStr">
        <is>
          <t>Diversos Alarme 01/2025</t>
        </is>
      </c>
      <c r="F122" s="0" t="n">
        <v>120</v>
      </c>
      <c r="G122" s="0" t="inlineStr">
        <is>
          <t>Travessa do Ouvidor N. 17 / Loja 17-A</t>
        </is>
      </c>
      <c r="H122" s="0" t="inlineStr">
        <is>
          <t>Manutenção</t>
        </is>
      </c>
    </row>
    <row r="123">
      <c r="A123" s="0" t="inlineStr">
        <is>
          <t>Caixa e equivalentes-caixa:Adibras</t>
        </is>
      </c>
      <c r="B123" s="0" t="inlineStr">
        <is>
          <t>Adibras Administradora Brasileira de bens LTDA</t>
        </is>
      </c>
      <c r="C123" s="0" t="inlineStr">
        <is>
          <t>13/05/2025</t>
        </is>
      </c>
      <c r="D123" s="0" t="inlineStr">
        <is>
          <t>Custos com imóveis próprios:Manutenção e Condomínio</t>
        </is>
      </c>
      <c r="E123" s="0" t="inlineStr">
        <is>
          <t>Diversos SISTEMA DE ALARME 01/2025</t>
        </is>
      </c>
      <c r="F123" s="0" t="n">
        <v>63.36</v>
      </c>
      <c r="G123" s="0" t="inlineStr">
        <is>
          <t>Rua Sacadura Cabral N. 151 / Loja (196 1/2)</t>
        </is>
      </c>
      <c r="H123" s="0" t="inlineStr">
        <is>
          <t>Manutenção</t>
        </is>
      </c>
    </row>
    <row r="124">
      <c r="A124" s="0" t="inlineStr">
        <is>
          <t>Caixa e equivalentes-caixa:Adibras</t>
        </is>
      </c>
      <c r="B124" s="0" t="inlineStr">
        <is>
          <t>Adibras Administradora Brasileira de bens LTDA</t>
        </is>
      </c>
      <c r="C124" s="0" t="inlineStr">
        <is>
          <t>13/05/2025</t>
        </is>
      </c>
      <c r="D124" s="0" t="inlineStr">
        <is>
          <t>Custos com imóveis próprios:Manutenção e Condomínio</t>
        </is>
      </c>
      <c r="E124" s="0" t="inlineStr">
        <is>
          <t>Diversos SPI Rio Derme e Allan 01/2025</t>
        </is>
      </c>
      <c r="F124" s="0" t="n">
        <v>200</v>
      </c>
      <c r="G124" s="0" t="inlineStr">
        <is>
          <t>Rua Dr. Paulo Fróes Machado N. 105 - Loja - Nova Iguaçu (194 1/1)</t>
        </is>
      </c>
      <c r="H124" s="0" t="inlineStr">
        <is>
          <t>Manutenção</t>
        </is>
      </c>
    </row>
    <row r="125">
      <c r="A125" s="0" t="inlineStr">
        <is>
          <t>Caixa e equivalentes-caixa:Adibras</t>
        </is>
      </c>
      <c r="B125" s="0" t="inlineStr">
        <is>
          <t>Adibras Administradora Brasileira de bens LTDA</t>
        </is>
      </c>
      <c r="C125" s="0" t="inlineStr">
        <is>
          <t>13/05/2025</t>
        </is>
      </c>
      <c r="D125" s="0" t="inlineStr">
        <is>
          <t>Custos com imóveis próprios:Administração dos imóveis</t>
        </is>
      </c>
      <c r="E125" s="0" t="inlineStr">
        <is>
          <t>Comissao S/Multa 12/2024</t>
        </is>
      </c>
      <c r="F125" s="0" t="n">
        <v>6.35</v>
      </c>
      <c r="G125" s="0" t="inlineStr">
        <is>
          <t>Rua Moraes E Silva N. 153  / Casa (132 4/5)</t>
        </is>
      </c>
      <c r="H125" s="0" t="inlineStr">
        <is>
          <t>Comissão</t>
        </is>
      </c>
    </row>
    <row r="126">
      <c r="A126" s="0" t="inlineStr">
        <is>
          <t>Caixa e equivalentes-caixa:Adibras</t>
        </is>
      </c>
      <c r="B126" s="0" t="inlineStr">
        <is>
          <t>Adibras Administradora Brasileira de bens LTDA</t>
        </is>
      </c>
      <c r="C126" s="0" t="inlineStr">
        <is>
          <t>14/05/2025</t>
        </is>
      </c>
      <c r="D126" s="0" t="inlineStr">
        <is>
          <t>Custos com imóveis próprios:Manutenção e Condomínio</t>
        </is>
      </c>
      <c r="E126" s="0" t="inlineStr">
        <is>
          <t>Agua e Esgoto  12/2024</t>
        </is>
      </c>
      <c r="F126" s="0" t="n">
        <v>476.89</v>
      </c>
      <c r="G126" s="0" t="inlineStr">
        <is>
          <t>Rua Sacadura Cabral N. 151 / Loja (196 1/2)</t>
        </is>
      </c>
      <c r="H126" s="0" t="inlineStr">
        <is>
          <t>Água e Esgoto</t>
        </is>
      </c>
    </row>
    <row r="127">
      <c r="A127" s="0" t="inlineStr">
        <is>
          <t>Caixa e equivalentes-caixa:Adibras</t>
        </is>
      </c>
      <c r="B127" s="0" t="inlineStr">
        <is>
          <t>Adibras Administradora Brasileira de bens LTDA</t>
        </is>
      </c>
      <c r="C127" s="0" t="inlineStr">
        <is>
          <t>14/05/2025</t>
        </is>
      </c>
      <c r="D127" s="0" t="inlineStr">
        <is>
          <t>Custos com imóveis próprios:Manutenção e Condomínio</t>
        </is>
      </c>
      <c r="E127" s="0" t="inlineStr">
        <is>
          <t>Agua e Esgoto  12/2024</t>
        </is>
      </c>
      <c r="F127" s="0" t="n">
        <v>476.89</v>
      </c>
      <c r="G127" s="0" t="inlineStr">
        <is>
          <t>Rua Sacadura Cabral N. 151</t>
        </is>
      </c>
      <c r="H127" s="0" t="inlineStr">
        <is>
          <t>Água e Esgoto</t>
        </is>
      </c>
    </row>
    <row r="128">
      <c r="A128" s="0" t="inlineStr">
        <is>
          <t>Caixa e equivalentes-caixa:Adibras</t>
        </is>
      </c>
      <c r="B128" s="0" t="inlineStr">
        <is>
          <t>Adibras Administradora Brasileira de bens LTDA</t>
        </is>
      </c>
      <c r="C128" s="0" t="inlineStr">
        <is>
          <t>16/05/2025</t>
        </is>
      </c>
      <c r="D128" s="0" t="inlineStr">
        <is>
          <t>Custos com imóveis próprios:Administração dos imóveis</t>
        </is>
      </c>
      <c r="E128" s="0" t="inlineStr">
        <is>
          <t>Passagem Passagem para o Fórum do Méier 01/2025</t>
        </is>
      </c>
      <c r="F128" s="0" t="n">
        <v>2.4</v>
      </c>
      <c r="G128" s="0" t="inlineStr">
        <is>
          <t>Rua Do Rosário N. 112 / 6º Andar (178 7/9)</t>
        </is>
      </c>
      <c r="H128" s="0" t="inlineStr">
        <is>
          <t>Passagem</t>
        </is>
      </c>
    </row>
    <row r="129">
      <c r="A129" s="0" t="inlineStr">
        <is>
          <t>Caixa e equivalentes-caixa:Adibras</t>
        </is>
      </c>
      <c r="B129" s="0" t="inlineStr">
        <is>
          <t>Adibras Administradora Brasileira de bens LTDA</t>
        </is>
      </c>
      <c r="C129" s="0" t="inlineStr">
        <is>
          <t>17/05/2025</t>
        </is>
      </c>
      <c r="D129" s="0" t="inlineStr">
        <is>
          <t>Custos com imóveis próprios:Administração dos imóveis</t>
        </is>
      </c>
      <c r="E129" s="0" t="inlineStr">
        <is>
          <t>Passagem MOSTRAR IMÓVEL 15/01/25 01/2025</t>
        </is>
      </c>
      <c r="F129" s="0" t="n">
        <v>8.1</v>
      </c>
      <c r="G129" s="0" t="inlineStr">
        <is>
          <t>Rua São Francisco Xavier N. 194 Sobrado E 196 Sobrado (132 3/5)</t>
        </is>
      </c>
      <c r="H129" s="0" t="inlineStr">
        <is>
          <t>Passagem</t>
        </is>
      </c>
    </row>
    <row r="130">
      <c r="A130" s="0" t="inlineStr">
        <is>
          <t>Caixa e equivalentes-caixa:Adibras</t>
        </is>
      </c>
      <c r="B130" s="0" t="inlineStr">
        <is>
          <t>Adibras Administradora Brasileira de bens LTDA</t>
        </is>
      </c>
      <c r="C130" s="0" t="inlineStr">
        <is>
          <t>17/05/2025</t>
        </is>
      </c>
      <c r="D130" s="0" t="inlineStr">
        <is>
          <t>Custos com imóveis próprios:Administração dos imóveis</t>
        </is>
      </c>
      <c r="E130" s="0" t="inlineStr">
        <is>
          <t>Passagem MOSTRAR IMÓVEL 17/01/25 01/2025</t>
        </is>
      </c>
      <c r="F130" s="0" t="n">
        <v>8.1</v>
      </c>
      <c r="G130" s="0" t="inlineStr">
        <is>
          <t>Rua São Francisco Xavier N. 194 Sobrado E 196 Sobrado (132 3/5)</t>
        </is>
      </c>
      <c r="H130" s="0" t="inlineStr">
        <is>
          <t>Passagem</t>
        </is>
      </c>
    </row>
    <row r="131">
      <c r="A131" s="0" t="inlineStr">
        <is>
          <t>Caixa e equivalentes-caixa:Adibras</t>
        </is>
      </c>
      <c r="B131" s="0" t="inlineStr">
        <is>
          <t>Adibras Administradora Brasileira de bens LTDA</t>
        </is>
      </c>
      <c r="C131" s="0" t="inlineStr">
        <is>
          <t>17/05/2025</t>
        </is>
      </c>
      <c r="D131" s="0" t="inlineStr">
        <is>
          <t>Custos com imóveis próprios:Publicidade</t>
        </is>
      </c>
      <c r="E131" s="0" t="inlineStr">
        <is>
          <t>Anuncio ZAP 01/2025</t>
        </is>
      </c>
      <c r="F131" s="0" t="n">
        <v>93</v>
      </c>
      <c r="G131" s="0" t="inlineStr">
        <is>
          <t>Rua Da Alfândega N. 25 / Sala 602 (124 1/1)</t>
        </is>
      </c>
      <c r="H131" s="0" t="inlineStr">
        <is>
          <t>Anúncio</t>
        </is>
      </c>
    </row>
    <row r="132">
      <c r="A132" s="0" t="inlineStr">
        <is>
          <t>Caixa e equivalentes-caixa:Adibras</t>
        </is>
      </c>
      <c r="B132" s="0" t="inlineStr">
        <is>
          <t>Adibras Administradora Brasileira de bens LTDA</t>
        </is>
      </c>
      <c r="C132" s="0" t="inlineStr">
        <is>
          <t>17/05/2025</t>
        </is>
      </c>
      <c r="D132" s="0" t="inlineStr">
        <is>
          <t>Custos com imóveis próprios:Publicidade</t>
        </is>
      </c>
      <c r="E132" s="0" t="inlineStr">
        <is>
          <t>Anuncio ZAP 01/2025</t>
        </is>
      </c>
      <c r="F132" s="0" t="n">
        <v>93</v>
      </c>
      <c r="G132" s="0" t="inlineStr">
        <is>
          <t>Rua Da Quitanda N. 161  /  Loja  A (156 1/3)</t>
        </is>
      </c>
      <c r="H132" s="0" t="inlineStr">
        <is>
          <t>Anúncio</t>
        </is>
      </c>
    </row>
    <row r="133">
      <c r="A133" s="0" t="inlineStr">
        <is>
          <t>Caixa e equivalentes-caixa:Adibras</t>
        </is>
      </c>
      <c r="B133" s="0" t="inlineStr">
        <is>
          <t>Adibras Administradora Brasileira de bens LTDA</t>
        </is>
      </c>
      <c r="C133" s="0" t="inlineStr">
        <is>
          <t>17/05/2025</t>
        </is>
      </c>
      <c r="D133" s="0" t="inlineStr">
        <is>
          <t>Custos com imóveis próprios:Publicidade</t>
        </is>
      </c>
      <c r="E133" s="0" t="inlineStr">
        <is>
          <t>Anuncio ZAP 01/2025</t>
        </is>
      </c>
      <c r="F133" s="0" t="n">
        <v>93</v>
      </c>
      <c r="G133" s="0" t="inlineStr">
        <is>
          <t>Rua Da Quitanda N. 161  /  Sala 201  E  Sala 301 (156 2.3/3)</t>
        </is>
      </c>
      <c r="H133" s="0" t="inlineStr">
        <is>
          <t>Anúncio</t>
        </is>
      </c>
    </row>
    <row r="134">
      <c r="A134" s="0" t="inlineStr">
        <is>
          <t>Caixa e equivalentes-caixa:Adibras</t>
        </is>
      </c>
      <c r="B134" s="0" t="inlineStr">
        <is>
          <t>Adibras Administradora Brasileira de bens LTDA</t>
        </is>
      </c>
      <c r="C134" s="0" t="inlineStr">
        <is>
          <t>17/05/2025</t>
        </is>
      </c>
      <c r="D134" s="0" t="inlineStr">
        <is>
          <t>Custos com imóveis próprios:Publicidade</t>
        </is>
      </c>
      <c r="E134" s="0" t="inlineStr">
        <is>
          <t>Anuncio ZAP 01/2025</t>
        </is>
      </c>
      <c r="F134" s="0" t="n">
        <v>93</v>
      </c>
      <c r="G134" s="0" t="inlineStr">
        <is>
          <t>Rua Da Quitanda N. 161  /  Sala 201  E  Sala 301 (156 2.3/3)</t>
        </is>
      </c>
      <c r="H134" s="0" t="inlineStr">
        <is>
          <t>Anúncio</t>
        </is>
      </c>
    </row>
    <row r="135">
      <c r="A135" s="0" t="inlineStr">
        <is>
          <t>Caixa e equivalentes-caixa:Adibras</t>
        </is>
      </c>
      <c r="B135" s="0" t="inlineStr">
        <is>
          <t>Adibras Administradora Brasileira de bens LTDA</t>
        </is>
      </c>
      <c r="C135" s="0" t="inlineStr">
        <is>
          <t>17/05/2025</t>
        </is>
      </c>
      <c r="D135" s="0" t="inlineStr">
        <is>
          <t>Custos com imóveis próprios:Publicidade</t>
        </is>
      </c>
      <c r="E135" s="0" t="inlineStr">
        <is>
          <t>Anuncio ZAP 01/2025</t>
        </is>
      </c>
      <c r="F135" s="0" t="n">
        <v>93</v>
      </c>
      <c r="G135" s="0" t="inlineStr">
        <is>
          <t>Rua Da Quitanda N. 161  /  Sala 201  E  Sala 301 (156 2.3/3)</t>
        </is>
      </c>
      <c r="H135" s="0" t="inlineStr">
        <is>
          <t>Anúncio</t>
        </is>
      </c>
    </row>
    <row r="136">
      <c r="A136" s="0" t="inlineStr">
        <is>
          <t>Caixa e equivalentes-caixa:Adibras</t>
        </is>
      </c>
      <c r="B136" s="0" t="inlineStr">
        <is>
          <t>Adibras Administradora Brasileira de bens LTDA</t>
        </is>
      </c>
      <c r="C136" s="0" t="inlineStr">
        <is>
          <t>17/05/2025</t>
        </is>
      </c>
      <c r="D136" s="0" t="inlineStr">
        <is>
          <t>Custos com imóveis próprios:Publicidade</t>
        </is>
      </c>
      <c r="E136" s="0" t="inlineStr">
        <is>
          <t>Anuncio ZAP 01/2025</t>
        </is>
      </c>
      <c r="F136" s="0" t="n">
        <v>93</v>
      </c>
      <c r="G136" s="0" t="inlineStr">
        <is>
          <t>Rua Da Quitanda N. 191 / Loja A (201 1/1)</t>
        </is>
      </c>
      <c r="H136" s="0" t="inlineStr">
        <is>
          <t>Anúncio</t>
        </is>
      </c>
    </row>
    <row r="137">
      <c r="A137" s="0" t="inlineStr">
        <is>
          <t>Caixa e equivalentes-caixa:Adibras</t>
        </is>
      </c>
      <c r="B137" s="0" t="inlineStr">
        <is>
          <t>Adibras Administradora Brasileira de bens LTDA</t>
        </is>
      </c>
      <c r="C137" s="0" t="inlineStr">
        <is>
          <t>17/05/2025</t>
        </is>
      </c>
      <c r="D137" s="0" t="inlineStr">
        <is>
          <t>Custos com imóveis próprios:Publicidade</t>
        </is>
      </c>
      <c r="E137" s="0" t="inlineStr">
        <is>
          <t>Anuncio ZAP 01/2025</t>
        </is>
      </c>
      <c r="F137" s="0" t="n">
        <v>93</v>
      </c>
      <c r="G137" s="0" t="inlineStr">
        <is>
          <t>Travessa do Ouvidor N. 17 / Loja 17-A</t>
        </is>
      </c>
      <c r="H137" s="0" t="inlineStr">
        <is>
          <t>Anúncio</t>
        </is>
      </c>
    </row>
    <row r="138">
      <c r="A138" s="0" t="inlineStr">
        <is>
          <t>Caixa e equivalentes-caixa:Adibras</t>
        </is>
      </c>
      <c r="B138" s="0" t="inlineStr">
        <is>
          <t>Adibras Administradora Brasileira de bens LTDA</t>
        </is>
      </c>
      <c r="C138" s="0" t="inlineStr">
        <is>
          <t>17/05/2025</t>
        </is>
      </c>
      <c r="D138" s="0" t="inlineStr">
        <is>
          <t>Custos com imóveis próprios:Publicidade</t>
        </is>
      </c>
      <c r="E138" s="0" t="inlineStr">
        <is>
          <t>Anuncio ZAP 01/2025</t>
        </is>
      </c>
      <c r="F138" s="0" t="n">
        <v>27.9</v>
      </c>
      <c r="G138" s="0" t="inlineStr">
        <is>
          <t>Rua Do Rosário N. 112 / 7º Andar (178 8/9)</t>
        </is>
      </c>
      <c r="H138" s="0" t="inlineStr">
        <is>
          <t>Anúncio</t>
        </is>
      </c>
    </row>
    <row r="139">
      <c r="A139" s="0" t="inlineStr">
        <is>
          <t>Caixa e equivalentes-caixa:Adibras</t>
        </is>
      </c>
      <c r="B139" s="0" t="inlineStr">
        <is>
          <t>Adibras Administradora Brasileira de bens LTDA</t>
        </is>
      </c>
      <c r="C139" s="0" t="inlineStr">
        <is>
          <t>17/05/2025</t>
        </is>
      </c>
      <c r="D139" s="0" t="inlineStr">
        <is>
          <t>Custos com imóveis próprios:Publicidade</t>
        </is>
      </c>
      <c r="E139" s="0" t="inlineStr">
        <is>
          <t>Anuncio ZAP 01/2025</t>
        </is>
      </c>
      <c r="F139" s="0" t="n">
        <v>46.5</v>
      </c>
      <c r="G139" s="0" t="inlineStr">
        <is>
          <t>Rua Sacadura Cabral N. 151</t>
        </is>
      </c>
      <c r="H139" s="0" t="inlineStr">
        <is>
          <t>Anúncio</t>
        </is>
      </c>
    </row>
    <row r="140">
      <c r="A140" s="0" t="inlineStr">
        <is>
          <t>Caixa e equivalentes-caixa:Adibras</t>
        </is>
      </c>
      <c r="B140" s="0" t="inlineStr">
        <is>
          <t>Adibras Administradora Brasileira de bens LTDA</t>
        </is>
      </c>
      <c r="C140" s="0" t="inlineStr">
        <is>
          <t>17/05/2025</t>
        </is>
      </c>
      <c r="D140" s="0" t="inlineStr">
        <is>
          <t>Custos com imóveis próprios:Publicidade</t>
        </is>
      </c>
      <c r="E140" s="0" t="inlineStr">
        <is>
          <t>Anuncio ZAP 01/2025</t>
        </is>
      </c>
      <c r="F140" s="0" t="n">
        <v>31.01</v>
      </c>
      <c r="G140" s="0" t="inlineStr">
        <is>
          <t>Rua Sete De Setembro N. 92 / Loja 112 (137 1/1)</t>
        </is>
      </c>
      <c r="H140" s="0" t="inlineStr">
        <is>
          <t>Anúncio</t>
        </is>
      </c>
    </row>
    <row r="141">
      <c r="A141" s="0" t="inlineStr">
        <is>
          <t>Caixa e equivalentes-caixa:Adibras</t>
        </is>
      </c>
      <c r="B141" s="0" t="inlineStr">
        <is>
          <t>Adibras Administradora Brasileira de bens LTDA</t>
        </is>
      </c>
      <c r="C141" s="0" t="inlineStr">
        <is>
          <t>17/05/2025</t>
        </is>
      </c>
      <c r="D141" s="0" t="inlineStr">
        <is>
          <t>Custos com imóveis próprios:Publicidade</t>
        </is>
      </c>
      <c r="E141" s="0" t="inlineStr">
        <is>
          <t>Anuncio ZAP 01/2025</t>
        </is>
      </c>
      <c r="F141" s="0" t="n">
        <v>50.22</v>
      </c>
      <c r="G141" s="0" t="inlineStr">
        <is>
          <t>Rua São Francisco Xavier N. 194 Sobrado E 196 Sobrado (132 3/5)</t>
        </is>
      </c>
      <c r="H141" s="0" t="inlineStr">
        <is>
          <t>Anúncio</t>
        </is>
      </c>
    </row>
    <row r="142">
      <c r="A142" s="0" t="inlineStr">
        <is>
          <t>Caixa e equivalentes-caixa:Adibras</t>
        </is>
      </c>
      <c r="B142" s="0" t="inlineStr">
        <is>
          <t>Adibras Administradora Brasileira de bens LTDA</t>
        </is>
      </c>
      <c r="C142" s="0" t="inlineStr">
        <is>
          <t>17/05/2025</t>
        </is>
      </c>
      <c r="D142" s="0" t="inlineStr">
        <is>
          <t>Custos com imóveis próprios:Publicidade</t>
        </is>
      </c>
      <c r="E142" s="0" t="inlineStr">
        <is>
          <t>Anuncio ZAP 01/2025</t>
        </is>
      </c>
      <c r="F142" s="0" t="n">
        <v>23.25</v>
      </c>
      <c r="G142" s="0" t="inlineStr">
        <is>
          <t>Rua Da Alfândega N. 97 / 1º E 2º Pavimentos (187 2/2)</t>
        </is>
      </c>
      <c r="H142" s="0" t="inlineStr">
        <is>
          <t>Anúncio</t>
        </is>
      </c>
    </row>
    <row r="143">
      <c r="A143" s="0" t="inlineStr">
        <is>
          <t>Caixa e equivalentes-caixa:Adibras</t>
        </is>
      </c>
      <c r="B143" s="0" t="inlineStr">
        <is>
          <t>Adibras Administradora Brasileira de bens LTDA</t>
        </is>
      </c>
      <c r="C143" s="0" t="inlineStr">
        <is>
          <t>17/05/2025</t>
        </is>
      </c>
      <c r="D143" s="0" t="inlineStr">
        <is>
          <t>Custos com imóveis próprios:Administração dos imóveis</t>
        </is>
      </c>
      <c r="E143" s="0" t="inlineStr">
        <is>
          <t>Comissao S/Iptu divida ativa 38/48 01/2025</t>
        </is>
      </c>
      <c r="F143" s="0" t="n">
        <v>19.45</v>
      </c>
      <c r="G143" s="0" t="inlineStr">
        <is>
          <t>Rua Da Alfândega N. 97 / 1º E 2º Pavimentos (187 2/2)</t>
        </is>
      </c>
      <c r="H143" s="0" t="inlineStr">
        <is>
          <t>Comissão</t>
        </is>
      </c>
    </row>
    <row r="144">
      <c r="A144" s="0" t="inlineStr">
        <is>
          <t>Caixa e equivalentes-caixa:Adibras</t>
        </is>
      </c>
      <c r="B144" s="0" t="inlineStr">
        <is>
          <t>Adibras Administradora Brasileira de bens LTDA</t>
        </is>
      </c>
      <c r="C144" s="0" t="inlineStr">
        <is>
          <t>24/05/2025</t>
        </is>
      </c>
      <c r="D144" s="0" t="inlineStr">
        <is>
          <t>Custos com imóveis próprios:Administração dos imóveis</t>
        </is>
      </c>
      <c r="E144" s="0" t="inlineStr">
        <is>
          <t>Passagem Passagem para o Fórum do Méier 01/2025</t>
        </is>
      </c>
      <c r="F144" s="0" t="n">
        <v>2.4</v>
      </c>
      <c r="G144" s="0" t="inlineStr">
        <is>
          <t>Rua Do Rosário N. 112 / 6º Andar (178 7/9)</t>
        </is>
      </c>
      <c r="H144" s="0" t="inlineStr">
        <is>
          <t>Passagem</t>
        </is>
      </c>
    </row>
    <row r="145">
      <c r="A145" s="0" t="inlineStr">
        <is>
          <t>Caixa e equivalentes-caixa:Adibras</t>
        </is>
      </c>
      <c r="B145" s="0" t="inlineStr">
        <is>
          <t>Adibras Administradora Brasileira de bens LTDA</t>
        </is>
      </c>
      <c r="C145" s="0" t="inlineStr">
        <is>
          <t>29/05/2025</t>
        </is>
      </c>
      <c r="D145" s="0" t="inlineStr">
        <is>
          <t>Custos com imóveis próprios:Administração dos imóveis</t>
        </is>
      </c>
      <c r="E145" s="0" t="inlineStr">
        <is>
          <t>Comissao  01/2025</t>
        </is>
      </c>
      <c r="F145" s="0" t="n">
        <v>921.6900000000001</v>
      </c>
      <c r="G145" s="0" t="inlineStr">
        <is>
          <t>Praça Mauá N. 15 / Loja 15-A (134 1/2)</t>
        </is>
      </c>
      <c r="H145" s="0" t="inlineStr">
        <is>
          <t>Comissão</t>
        </is>
      </c>
    </row>
    <row r="146">
      <c r="A146" s="0" t="inlineStr">
        <is>
          <t>Caixa e equivalentes-caixa:Adibras</t>
        </is>
      </c>
      <c r="B146" s="0" t="inlineStr">
        <is>
          <t>Adibras Administradora Brasileira de bens LTDA</t>
        </is>
      </c>
      <c r="C146" s="0" t="inlineStr">
        <is>
          <t>29/05/2025</t>
        </is>
      </c>
      <c r="D146" s="0" t="inlineStr">
        <is>
          <t>Custos com imóveis próprios:Manutenção e Condomínio</t>
        </is>
      </c>
      <c r="E146" s="0" t="inlineStr">
        <is>
          <t>Consumo Luz  12/2024</t>
        </is>
      </c>
      <c r="F146" s="0" t="n">
        <v>55.49</v>
      </c>
      <c r="G146" s="0" t="inlineStr">
        <is>
          <t>Rua Sacadura Cabral N. 151 / Loja (196 1/2)</t>
        </is>
      </c>
      <c r="H146" s="0" t="inlineStr">
        <is>
          <t>Luz (consumo)</t>
        </is>
      </c>
    </row>
    <row r="147">
      <c r="A147" s="0" t="inlineStr">
        <is>
          <t>Caixa e equivalentes-caixa:Adibras</t>
        </is>
      </c>
      <c r="B147" s="0" t="inlineStr">
        <is>
          <t>Adibras Administradora Brasileira de bens LTDA</t>
        </is>
      </c>
      <c r="C147" s="0" t="inlineStr">
        <is>
          <t>30/05/2025</t>
        </is>
      </c>
      <c r="D147" s="0" t="inlineStr">
        <is>
          <t>Custos com imóveis próprios:Administração dos imóveis</t>
        </is>
      </c>
      <c r="E147" s="0" t="inlineStr">
        <is>
          <t>Comissao  01/2025</t>
        </is>
      </c>
      <c r="F147" s="0" t="n">
        <v>58.18</v>
      </c>
      <c r="G147" s="0" t="inlineStr">
        <is>
          <t>Rua Da Passagem N. 83 / Sala 405 (130 1/1)</t>
        </is>
      </c>
      <c r="H147" s="0" t="inlineStr">
        <is>
          <t>Comissão</t>
        </is>
      </c>
    </row>
    <row r="148">
      <c r="A148" s="0" t="inlineStr">
        <is>
          <t>Caixa e equivalentes-caixa:Adibras</t>
        </is>
      </c>
      <c r="B148" s="0" t="inlineStr">
        <is>
          <t>Adibras Administradora Brasileira de bens LTDA</t>
        </is>
      </c>
      <c r="C148" s="0" t="inlineStr">
        <is>
          <t>30/05/2025</t>
        </is>
      </c>
      <c r="D148" s="0" t="inlineStr">
        <is>
          <t>Custos com imóveis próprios:Administração dos imóveis</t>
        </is>
      </c>
      <c r="E148" s="0" t="inlineStr">
        <is>
          <t>Comissao  01/2025</t>
        </is>
      </c>
      <c r="F148" s="0" t="n">
        <v>83.17</v>
      </c>
      <c r="G148" s="0" t="inlineStr">
        <is>
          <t>Rua Do Rosário N. 112 / 3º Andar (178 4/9)</t>
        </is>
      </c>
      <c r="H148" s="0" t="inlineStr">
        <is>
          <t>Comissão</t>
        </is>
      </c>
    </row>
    <row r="149">
      <c r="A149" s="0" t="inlineStr">
        <is>
          <t>Caixa e equivalentes-caixa:Adibras</t>
        </is>
      </c>
      <c r="B149" s="0" t="inlineStr">
        <is>
          <t>Adibras Administradora Brasileira de bens LTDA</t>
        </is>
      </c>
      <c r="C149" s="0" t="inlineStr">
        <is>
          <t>30/05/2025</t>
        </is>
      </c>
      <c r="D149" s="0" t="inlineStr">
        <is>
          <t>Custos com imóveis próprios:Administração dos imóveis</t>
        </is>
      </c>
      <c r="E149" s="0" t="inlineStr">
        <is>
          <t>Comissao  02/2025</t>
        </is>
      </c>
      <c r="F149" s="0" t="n">
        <v>29.09</v>
      </c>
      <c r="G149" s="0" t="inlineStr">
        <is>
          <t>R DOS INVALIDOS,138 GARAGEM</t>
        </is>
      </c>
      <c r="H149" s="0" t="inlineStr">
        <is>
          <t>Comissão</t>
        </is>
      </c>
    </row>
    <row r="150">
      <c r="A150" s="0" t="inlineStr">
        <is>
          <t>Caixa e equivalentes-caixa:Adibras</t>
        </is>
      </c>
      <c r="B150" s="0" t="inlineStr">
        <is>
          <t>Adibras Administradora Brasileira de bens LTDA</t>
        </is>
      </c>
      <c r="C150" s="0" t="inlineStr">
        <is>
          <t>30/05/2025</t>
        </is>
      </c>
      <c r="D150" s="0" t="inlineStr">
        <is>
          <t>Custos com imóveis próprios:Manutenção e Condomínio</t>
        </is>
      </c>
      <c r="E150" s="0" t="inlineStr">
        <is>
          <t>Diversos Sistema de Alarme 01/2025</t>
        </is>
      </c>
      <c r="F150" s="0" t="n">
        <v>56.7</v>
      </c>
      <c r="G150" s="0" t="inlineStr">
        <is>
          <t>Rua Pedro I N. 14 / Sobrado (171 2/2)</t>
        </is>
      </c>
      <c r="H150" s="0" t="inlineStr">
        <is>
          <t>Manutenção</t>
        </is>
      </c>
    </row>
    <row r="151">
      <c r="A151" s="0" t="inlineStr">
        <is>
          <t>Caixa e equivalentes-caixa:Adibras</t>
        </is>
      </c>
      <c r="B151" s="0" t="inlineStr">
        <is>
          <t>Adibras Administradora Brasileira de bens LTDA</t>
        </is>
      </c>
      <c r="C151" s="0" t="inlineStr">
        <is>
          <t>30/05/2025</t>
        </is>
      </c>
      <c r="D151" s="0" t="inlineStr">
        <is>
          <t>Custos com imóveis próprios:Manutenção e Condomínio</t>
        </is>
      </c>
      <c r="E151" s="0" t="inlineStr">
        <is>
          <t>Diversos Sistema de Alarme 01/2025</t>
        </is>
      </c>
      <c r="F151" s="0" t="n">
        <v>56.71</v>
      </c>
      <c r="G151" s="0" t="inlineStr">
        <is>
          <t>Rua Pedro I N. 14 / Loja (171 1/2)</t>
        </is>
      </c>
      <c r="H151" s="0" t="inlineStr">
        <is>
          <t>Manutenção</t>
        </is>
      </c>
    </row>
    <row r="152">
      <c r="A152" s="0" t="inlineStr">
        <is>
          <t>Caixa e equivalentes-caixa:Adibras</t>
        </is>
      </c>
      <c r="B152" s="0" t="inlineStr">
        <is>
          <t>Adibras Administradora Brasileira de bens LTDA</t>
        </is>
      </c>
      <c r="C152" s="0" t="inlineStr">
        <is>
          <t>30/05/2025</t>
        </is>
      </c>
      <c r="D152" s="0" t="inlineStr">
        <is>
          <t>Custos com imóveis próprios:Administração dos imóveis</t>
        </is>
      </c>
      <c r="E152" s="0" t="inlineStr">
        <is>
          <t>Comissao  01/2025</t>
        </is>
      </c>
      <c r="F152" s="0" t="n">
        <v>229.81</v>
      </c>
      <c r="G152" s="0" t="inlineStr">
        <is>
          <t>R DAS MARRECAS,29 LOJA  A</t>
        </is>
      </c>
      <c r="H152" s="0" t="inlineStr">
        <is>
          <t>Comissão</t>
        </is>
      </c>
    </row>
    <row r="153">
      <c r="A153" s="0" t="inlineStr">
        <is>
          <t>Caixa e equivalentes-caixa:Adibras</t>
        </is>
      </c>
      <c r="B153" s="0" t="inlineStr">
        <is>
          <t>Adibras Administradora Brasileira de bens LTDA</t>
        </is>
      </c>
      <c r="C153" s="0" t="inlineStr">
        <is>
          <t>31/05/2025</t>
        </is>
      </c>
      <c r="D153" s="0" t="inlineStr">
        <is>
          <t>Custos com imóveis próprios:Administração dos imóveis</t>
        </is>
      </c>
      <c r="E153" s="0" t="inlineStr">
        <is>
          <t>Comissao  01/2025</t>
        </is>
      </c>
      <c r="F153" s="0" t="n">
        <v>882</v>
      </c>
      <c r="G153" s="0" t="inlineStr">
        <is>
          <t>Praça Mauá N. 15 / 2º, 3º E 4º  Andares (134 2/2)</t>
        </is>
      </c>
      <c r="H153" s="0" t="inlineStr">
        <is>
          <t>Comissão</t>
        </is>
      </c>
    </row>
    <row r="154">
      <c r="A154" s="0" t="inlineStr">
        <is>
          <t>Caixa e equivalentes-caixa:Adibras</t>
        </is>
      </c>
      <c r="B154" s="0" t="inlineStr">
        <is>
          <t>Adibras Administradora Brasileira de bens LTDA</t>
        </is>
      </c>
      <c r="C154" s="0" t="inlineStr">
        <is>
          <t>31/05/2025</t>
        </is>
      </c>
      <c r="D154" s="0" t="inlineStr">
        <is>
          <t>Custos com imóveis próprios:Administração dos imóveis</t>
        </is>
      </c>
      <c r="E154" s="0" t="inlineStr">
        <is>
          <t>Comissao  12/2024</t>
        </is>
      </c>
      <c r="F154" s="0" t="n">
        <v>294</v>
      </c>
      <c r="G154" s="0" t="inlineStr">
        <is>
          <t>Rua Pedro I N. 14 / Loja (171 1/2)</t>
        </is>
      </c>
      <c r="H154" s="0" t="inlineStr">
        <is>
          <t>Comissão</t>
        </is>
      </c>
    </row>
    <row r="155">
      <c r="A155" s="0" t="inlineStr">
        <is>
          <t>Caixa e equivalentes-caixa:Adibras</t>
        </is>
      </c>
      <c r="B155" s="0" t="inlineStr">
        <is>
          <t>Adibras Administradora Brasileira de bens LTDA</t>
        </is>
      </c>
      <c r="C155" s="0" t="inlineStr">
        <is>
          <t>31/05/2025</t>
        </is>
      </c>
      <c r="D155" s="0" t="inlineStr">
        <is>
          <t>Custos com imóveis próprios:Administração dos imóveis</t>
        </is>
      </c>
      <c r="E155" s="0" t="inlineStr">
        <is>
          <t>Comissao  01/2025</t>
        </is>
      </c>
      <c r="F155" s="0" t="n">
        <v>38.79</v>
      </c>
      <c r="G155" s="0" t="inlineStr">
        <is>
          <t>R SANTOS TITARA,159/101 FTE</t>
        </is>
      </c>
      <c r="H155" s="0" t="inlineStr">
        <is>
          <t>Comissão</t>
        </is>
      </c>
    </row>
    <row r="156">
      <c r="A156" s="0" t="inlineStr">
        <is>
          <t>Caixa e equivalentes-caixa:Adibras</t>
        </is>
      </c>
      <c r="B156" s="0" t="inlineStr">
        <is>
          <t>Adibras Administradora Brasileira de bens LTDA</t>
        </is>
      </c>
      <c r="C156" s="0" t="inlineStr">
        <is>
          <t>31/05/2025</t>
        </is>
      </c>
      <c r="D156" s="0" t="inlineStr">
        <is>
          <t>Custos com imóveis próprios:Administração dos imóveis</t>
        </is>
      </c>
      <c r="E156" s="0" t="inlineStr">
        <is>
          <t>Comissao  01/2025</t>
        </is>
      </c>
      <c r="F156" s="0" t="n">
        <v>110.25</v>
      </c>
      <c r="G156" s="0" t="inlineStr">
        <is>
          <t>Rua Dos Inválidos N. 138  /  Loja I Do  Bloco I (152 1/2)</t>
        </is>
      </c>
      <c r="H156" s="0" t="inlineStr">
        <is>
          <t>Comissão</t>
        </is>
      </c>
    </row>
    <row r="157">
      <c r="A157" s="0" t="inlineStr">
        <is>
          <t>Caixa e equivalentes-caixa:Adibras</t>
        </is>
      </c>
      <c r="B157" s="0" t="inlineStr">
        <is>
          <t>Adibras Administradora Brasileira de bens LTDA</t>
        </is>
      </c>
      <c r="C157" s="0" t="inlineStr">
        <is>
          <t>31/05/2025</t>
        </is>
      </c>
      <c r="D157" s="0" t="inlineStr">
        <is>
          <t>Custos com imóveis próprios:Administração dos imóveis</t>
        </is>
      </c>
      <c r="E157" s="0" t="inlineStr">
        <is>
          <t>Comissao  01/2025</t>
        </is>
      </c>
      <c r="F157" s="0" t="n">
        <v>53.43</v>
      </c>
      <c r="G157" s="0" t="inlineStr">
        <is>
          <t>Rua Miguel Couto N. 143 / 2º Andar (121 3/3)</t>
        </is>
      </c>
      <c r="H157" s="0" t="inlineStr">
        <is>
          <t>Comissão</t>
        </is>
      </c>
    </row>
    <row r="158">
      <c r="A158" s="0" t="inlineStr">
        <is>
          <t>Caixa e equivalentes-caixa:Adibras</t>
        </is>
      </c>
      <c r="B158" s="0" t="inlineStr">
        <is>
          <t>Adibras Administradora Brasileira de bens LTDA</t>
        </is>
      </c>
      <c r="C158" s="0" t="inlineStr">
        <is>
          <t>31/05/2025</t>
        </is>
      </c>
      <c r="D158" s="0" t="inlineStr">
        <is>
          <t>Custos com imóveis próprios:Administração dos imóveis</t>
        </is>
      </c>
      <c r="E158" s="0" t="inlineStr">
        <is>
          <t>Comissao  01/2025</t>
        </is>
      </c>
      <c r="F158" s="0" t="n">
        <v>141.71</v>
      </c>
      <c r="G158" s="0" t="inlineStr">
        <is>
          <t>R MIGUEL COUTO, 143 LJA</t>
        </is>
      </c>
      <c r="H158" s="0" t="inlineStr">
        <is>
          <t>Comissão</t>
        </is>
      </c>
    </row>
    <row r="159">
      <c r="A159" s="0" t="inlineStr">
        <is>
          <t>Caixa e equivalentes-caixa:Adibras</t>
        </is>
      </c>
      <c r="B159" s="0" t="inlineStr">
        <is>
          <t>Adibras Administradora Brasileira de bens LTDA</t>
        </is>
      </c>
      <c r="C159" s="0" t="inlineStr">
        <is>
          <t>31/05/2025</t>
        </is>
      </c>
      <c r="D159" s="0" t="inlineStr">
        <is>
          <t>Custos com imóveis próprios:Administração dos imóveis</t>
        </is>
      </c>
      <c r="E159" s="0" t="inlineStr">
        <is>
          <t>Comissao  01/2025</t>
        </is>
      </c>
      <c r="F159" s="0" t="n">
        <v>441</v>
      </c>
      <c r="G159" s="0" t="inlineStr">
        <is>
          <t>Rua Dr. Paulo Fróes Machado N. 95 - Loja - Nova Iguaçu (193 1/1)</t>
        </is>
      </c>
      <c r="H159" s="0" t="inlineStr">
        <is>
          <t>Comissão</t>
        </is>
      </c>
    </row>
    <row r="160">
      <c r="A160" s="0" t="inlineStr">
        <is>
          <t>Caixa e equivalentes-caixa:Adibras</t>
        </is>
      </c>
      <c r="B160" s="0" t="inlineStr">
        <is>
          <t>Adibras Administradora Brasileira de bens LTDA</t>
        </is>
      </c>
      <c r="C160" s="0" t="inlineStr">
        <is>
          <t>31/05/2025</t>
        </is>
      </c>
      <c r="D160" s="0" t="inlineStr">
        <is>
          <t>Custos com imóveis próprios:Administração dos imóveis</t>
        </is>
      </c>
      <c r="E160" s="0" t="inlineStr">
        <is>
          <t>Comissao  01/2025</t>
        </is>
      </c>
      <c r="F160" s="0" t="n">
        <v>674.12</v>
      </c>
      <c r="G160" s="0" t="inlineStr">
        <is>
          <t>Rua Dr. Paulo Fróes Machado N. 105 - Loja - Nova Iguaçu (194 1/1)</t>
        </is>
      </c>
      <c r="H160" s="0" t="inlineStr">
        <is>
          <t>Comissão</t>
        </is>
      </c>
    </row>
    <row r="161">
      <c r="A161" s="0" t="inlineStr">
        <is>
          <t>Caixa e equivalentes-caixa:Adibras</t>
        </is>
      </c>
      <c r="B161" s="0" t="inlineStr">
        <is>
          <t>Adibras Administradora Brasileira de bens LTDA</t>
        </is>
      </c>
      <c r="C161" s="0" t="inlineStr">
        <is>
          <t>31/05/2025</t>
        </is>
      </c>
      <c r="D161" s="0" t="inlineStr">
        <is>
          <t>Custos com imóveis próprios:Administração dos imóveis</t>
        </is>
      </c>
      <c r="E161" s="0" t="inlineStr">
        <is>
          <t>Comissao  01/2025</t>
        </is>
      </c>
      <c r="F161" s="0" t="n">
        <v>68.73999999999999</v>
      </c>
      <c r="G161" s="0" t="inlineStr">
        <is>
          <t>Rua Do Acre N. 77 / Loja D (158 1/1)</t>
        </is>
      </c>
      <c r="H161" s="0" t="inlineStr">
        <is>
          <t>Comissão</t>
        </is>
      </c>
    </row>
    <row r="162">
      <c r="A162" s="0" t="inlineStr">
        <is>
          <t>Caixa e equivalentes-caixa:Adibras</t>
        </is>
      </c>
      <c r="B162" s="0" t="inlineStr">
        <is>
          <t>Adibras Administradora Brasileira de bens LTDA</t>
        </is>
      </c>
      <c r="C162" s="0" t="inlineStr">
        <is>
          <t>31/05/2025</t>
        </is>
      </c>
      <c r="D162" s="0" t="inlineStr">
        <is>
          <t>Custos com imóveis próprios:Administração dos imóveis</t>
        </is>
      </c>
      <c r="E162" s="0" t="inlineStr">
        <is>
          <t>Comissao  12/2024</t>
        </is>
      </c>
      <c r="F162" s="0" t="n">
        <v>703.35</v>
      </c>
      <c r="G162" s="0" t="inlineStr">
        <is>
          <t>Rua Evaristo Da Veiga N. 24 / Prédio (179 1/1)</t>
        </is>
      </c>
      <c r="H162" s="0" t="inlineStr">
        <is>
          <t>Comissão</t>
        </is>
      </c>
    </row>
    <row r="163">
      <c r="A163" s="0" t="inlineStr">
        <is>
          <t>Caixa e equivalentes-caixa:Adibras</t>
        </is>
      </c>
      <c r="B163" s="0" t="inlineStr">
        <is>
          <t>Adibras Administradora Brasileira de bens LTDA</t>
        </is>
      </c>
      <c r="C163" s="0" t="inlineStr">
        <is>
          <t>31/05/2025</t>
        </is>
      </c>
      <c r="D163" s="0" t="inlineStr">
        <is>
          <t>Custos com imóveis próprios:Administração dos imóveis</t>
        </is>
      </c>
      <c r="E163" s="0" t="inlineStr">
        <is>
          <t>Comissao  01/2025</t>
        </is>
      </c>
      <c r="F163" s="0" t="n">
        <v>257.25</v>
      </c>
      <c r="G163" s="0" t="inlineStr">
        <is>
          <t>Rua Sacadura Cabral N. 149 - Prédio (195 1/1)</t>
        </is>
      </c>
      <c r="H163" s="0" t="inlineStr">
        <is>
          <t>Comissão</t>
        </is>
      </c>
    </row>
    <row r="164">
      <c r="A164" s="0" t="inlineStr">
        <is>
          <t>Caixa e equivalentes-caixa:Adibras</t>
        </is>
      </c>
      <c r="B164" s="0" t="inlineStr">
        <is>
          <t>Adibras Administradora Brasileira de bens LTDA</t>
        </is>
      </c>
      <c r="C164" s="0" t="inlineStr">
        <is>
          <t>31/05/2025</t>
        </is>
      </c>
      <c r="D164" s="0" t="inlineStr">
        <is>
          <t>Custos com imóveis próprios:Administração dos imóveis</t>
        </is>
      </c>
      <c r="E164" s="0" t="inlineStr">
        <is>
          <t>Comissao  12/2024</t>
        </is>
      </c>
      <c r="F164" s="0" t="n">
        <v>173.1</v>
      </c>
      <c r="G164" s="0" t="inlineStr">
        <is>
          <t>Rua Da Alfândega N. 97 / Loja (187 1/2)</t>
        </is>
      </c>
      <c r="H164" s="0" t="inlineStr">
        <is>
          <t>Comissão</t>
        </is>
      </c>
    </row>
    <row r="165">
      <c r="A165" s="0" t="inlineStr">
        <is>
          <t>Caixa e equivalentes-caixa:Adibras</t>
        </is>
      </c>
      <c r="B165" s="0" t="inlineStr">
        <is>
          <t>Adibras Administradora Brasileira de bens LTDA</t>
        </is>
      </c>
      <c r="C165" s="0" t="inlineStr">
        <is>
          <t>31/05/2025</t>
        </is>
      </c>
      <c r="D165" s="0" t="inlineStr">
        <is>
          <t>Custos com imóveis próprios:Administração dos imóveis</t>
        </is>
      </c>
      <c r="E165" s="0" t="inlineStr">
        <is>
          <t>Comissao  01/2025</t>
        </is>
      </c>
      <c r="F165" s="0" t="n">
        <v>52.49</v>
      </c>
      <c r="G165" s="0" t="inlineStr">
        <is>
          <t>Rua Miguel Couto N. 143 / 1º Andar (121 2/3)</t>
        </is>
      </c>
      <c r="H165" s="0" t="inlineStr">
        <is>
          <t>Comissão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6" customWidth="1" style="30" min="1" max="1"/>
    <col width="25" customWidth="1" style="30" min="2" max="2"/>
    <col width="56" customWidth="1" style="30" min="3" max="3"/>
    <col width="14" customWidth="1" style="30" min="4" max="4"/>
    <col width="14" customWidth="1" style="30" min="5" max="5"/>
    <col width="57" customWidth="1" style="30" min="6" max="6"/>
    <col width="37" customWidth="1" style="30" min="7" max="7"/>
    <col width="84" customWidth="1" style="30" min="8" max="8"/>
    <col width="22" customWidth="1" style="30" min="9" max="9"/>
  </cols>
  <sheetData>
    <row r="1">
      <c r="A1" s="0" t="inlineStr">
        <is>
          <t>Diário nº</t>
        </is>
      </c>
      <c r="B1" s="0" t="inlineStr">
        <is>
          <t>Data do lançamento</t>
        </is>
      </c>
      <c r="C1" s="0" t="inlineStr">
        <is>
          <t>Conta</t>
        </is>
      </c>
      <c r="D1" s="0" t="inlineStr">
        <is>
          <t>Débito</t>
        </is>
      </c>
      <c r="E1" s="0" t="inlineStr">
        <is>
          <t>Crédito</t>
        </is>
      </c>
      <c r="F1" s="0" t="inlineStr">
        <is>
          <t>Descrição</t>
        </is>
      </c>
      <c r="G1" s="0" t="inlineStr">
        <is>
          <t>Nome</t>
        </is>
      </c>
      <c r="H1" s="0" t="inlineStr">
        <is>
          <t>Local</t>
        </is>
      </c>
      <c r="I1" s="0" t="inlineStr">
        <is>
          <t>Centro de Custo</t>
        </is>
      </c>
    </row>
    <row r="2">
      <c r="A2" s="0" t="n">
        <v>120</v>
      </c>
      <c r="B2" s="0" t="inlineStr">
        <is>
          <t>02/05/2025</t>
        </is>
      </c>
      <c r="C2" s="0" t="inlineStr">
        <is>
          <t>Outros Passivos:Adibras - Transitória de passivos</t>
        </is>
      </c>
      <c r="D2" s="0" t="n">
        <v>1207.51</v>
      </c>
      <c r="E2" s="0" t="n"/>
      <c r="F2" s="0" t="inlineStr">
        <is>
          <t>Agua e Esgoto  10/2024</t>
        </is>
      </c>
      <c r="G2" s="0" t="inlineStr">
        <is>
          <t>JR BAZAR E MATERIAIS DE CONTRU</t>
        </is>
      </c>
      <c r="H2" s="0" t="inlineStr">
        <is>
          <t>R DAS MARRECAS,29 LOJA  A</t>
        </is>
      </c>
      <c r="I2" s="0" t="inlineStr">
        <is>
          <t>Água e Esgoto</t>
        </is>
      </c>
    </row>
    <row r="3">
      <c r="A3" s="0" t="n">
        <v>120</v>
      </c>
      <c r="B3" s="0" t="inlineStr">
        <is>
          <t>02/05/2025</t>
        </is>
      </c>
      <c r="C3" s="0" t="inlineStr">
        <is>
          <t>Outros Passivos:Adibras - Transitória de passivos</t>
        </is>
      </c>
      <c r="D3" s="0" t="n">
        <v>649.14</v>
      </c>
      <c r="E3" s="0" t="n"/>
      <c r="F3" s="0" t="inlineStr">
        <is>
          <t>Agua e Esgoto (70%) 10/0204</t>
        </is>
      </c>
      <c r="G3" s="0" t="inlineStr">
        <is>
          <t>HOUSE DOM MANUEL CAFETERIA LTD</t>
        </is>
      </c>
      <c r="H3" s="0" t="inlineStr">
        <is>
          <t>Rua Pedro I N. 14 / Loja (171 1/2)</t>
        </is>
      </c>
      <c r="I3" s="0" t="inlineStr">
        <is>
          <t>Água e Esgoto</t>
        </is>
      </c>
    </row>
    <row r="4">
      <c r="A4" s="0" t="n">
        <v>120</v>
      </c>
      <c r="B4" s="0" t="inlineStr">
        <is>
          <t>02/05/2025</t>
        </is>
      </c>
      <c r="C4" s="0" t="inlineStr">
        <is>
          <t>Outros Passivos:Adibras - Transitória de passivos</t>
        </is>
      </c>
      <c r="D4" s="0" t="n">
        <v>335.25</v>
      </c>
      <c r="E4" s="0" t="n"/>
      <c r="F4" s="0" t="inlineStr">
        <is>
          <t>Agua e Esgoto (30%) 11/2024</t>
        </is>
      </c>
      <c r="G4" s="0" t="inlineStr">
        <is>
          <t>SOUZA LOPES PROD.ALIMENTICIOS</t>
        </is>
      </c>
      <c r="H4" s="0" t="inlineStr">
        <is>
          <t>R MIGUEL COUTO, 143 LJA</t>
        </is>
      </c>
      <c r="I4" s="0" t="inlineStr">
        <is>
          <t>Água e Esgoto</t>
        </is>
      </c>
    </row>
    <row r="5">
      <c r="A5" s="0" t="n">
        <v>120</v>
      </c>
      <c r="B5" s="0" t="inlineStr">
        <is>
          <t>02/05/2025</t>
        </is>
      </c>
      <c r="C5" s="0" t="inlineStr">
        <is>
          <t>Outros Passivos:Adibras - Transitória de passivos</t>
        </is>
      </c>
      <c r="D5" s="0" t="n">
        <v>219.31</v>
      </c>
      <c r="E5" s="0" t="n"/>
      <c r="F5" s="0" t="inlineStr">
        <is>
          <t>Agua e Esgoto (70%) 10/2024</t>
        </is>
      </c>
      <c r="G5" s="0" t="inlineStr">
        <is>
          <t>MICHEL FALCAO ROSA E/OU</t>
        </is>
      </c>
      <c r="H5" s="0" t="inlineStr">
        <is>
          <t>Rua Da Alfândega N. 97 / Loja (187 1/2)</t>
        </is>
      </c>
      <c r="I5" s="0" t="inlineStr">
        <is>
          <t>Água e Esgoto</t>
        </is>
      </c>
    </row>
    <row r="6">
      <c r="A6" s="0" t="n">
        <v>120</v>
      </c>
      <c r="B6" s="0" t="inlineStr">
        <is>
          <t>02/05/2025</t>
        </is>
      </c>
      <c r="C6" s="0" t="inlineStr">
        <is>
          <t>Outros Passivos:Adibras - Transitória de passivos</t>
        </is>
      </c>
      <c r="D6" s="0" t="n">
        <v>201.15</v>
      </c>
      <c r="E6" s="0" t="n"/>
      <c r="F6" s="0" t="inlineStr">
        <is>
          <t>Agua e Esgoto (30%) 11/2024</t>
        </is>
      </c>
      <c r="G6" s="0" t="inlineStr">
        <is>
          <t>CARLOS FERNANDES DUARTE</t>
        </is>
      </c>
      <c r="H6" s="0" t="inlineStr">
        <is>
          <t>Rua Miguel Couto N. 143 / 1º Andar (121 2/3)</t>
        </is>
      </c>
      <c r="I6" s="0" t="inlineStr">
        <is>
          <t>Água e Esgoto</t>
        </is>
      </c>
    </row>
    <row r="7">
      <c r="A7" s="0" t="n">
        <v>120</v>
      </c>
      <c r="B7" s="0" t="inlineStr">
        <is>
          <t>02/05/2025</t>
        </is>
      </c>
      <c r="C7" s="0" t="inlineStr">
        <is>
          <t>Outros Passivos:Adibras - Transitória de passivos</t>
        </is>
      </c>
      <c r="D7" s="0" t="n">
        <v>22.35</v>
      </c>
      <c r="E7" s="0" t="n"/>
      <c r="F7" s="0" t="inlineStr">
        <is>
          <t>Agua e Esgoto (10%) 11/2024</t>
        </is>
      </c>
      <c r="G7" s="0" t="inlineStr">
        <is>
          <t>STUDIO DE DANCA FLAVIO MARQUES</t>
        </is>
      </c>
      <c r="H7" s="0" t="inlineStr">
        <is>
          <t>Rua Miguel Couto N. 143 / 2º Andar (121 3/3)</t>
        </is>
      </c>
      <c r="I7" s="0" t="inlineStr">
        <is>
          <t>Água e Esgoto</t>
        </is>
      </c>
    </row>
    <row r="8">
      <c r="A8" s="0" t="n">
        <v>120</v>
      </c>
      <c r="B8" s="0" t="inlineStr">
        <is>
          <t>02/05/2025</t>
        </is>
      </c>
      <c r="C8" s="0" t="inlineStr">
        <is>
          <t>Outros Passivos:Adibras - Transitória de passivos</t>
        </is>
      </c>
      <c r="D8" s="0" t="n">
        <v>14.05</v>
      </c>
      <c r="E8" s="0" t="n"/>
      <c r="F8" s="0" t="inlineStr">
        <is>
          <t>Seguro C/Fogo Ref.2024/2025 05/0006</t>
        </is>
      </c>
      <c r="G8" s="0" t="inlineStr">
        <is>
          <t>GALETO FORMULA II LTDA.</t>
        </is>
      </c>
      <c r="H8" s="0" t="inlineStr">
        <is>
          <t>Praça Saens Pena N. 67 / Parte Do Sobrado (144 2/3)</t>
        </is>
      </c>
      <c r="I8" s="0" t="inlineStr">
        <is>
          <t>Seguro</t>
        </is>
      </c>
    </row>
    <row r="9">
      <c r="A9" s="0" t="n">
        <v>120</v>
      </c>
      <c r="B9" s="0" t="inlineStr">
        <is>
          <t>02/05/2025</t>
        </is>
      </c>
      <c r="C9" s="0" t="inlineStr">
        <is>
          <t>Outros Passivos:Adibras - Transitória de passivos</t>
        </is>
      </c>
      <c r="D9" s="0" t="n">
        <v>355.56</v>
      </c>
      <c r="E9" s="0" t="n"/>
      <c r="F9" s="0" t="inlineStr">
        <is>
          <t>Seguro C/Fogo Ref.2024/2025 03/0004</t>
        </is>
      </c>
      <c r="G9" s="0" t="inlineStr">
        <is>
          <t>WESLEY FALK</t>
        </is>
      </c>
      <c r="H9" s="0" t="inlineStr">
        <is>
          <t>Praça Mauá N. 15 / 2º, 3º E 4º  Andares (134 2/2)</t>
        </is>
      </c>
      <c r="I9" s="0" t="inlineStr">
        <is>
          <t>Seguro</t>
        </is>
      </c>
    </row>
    <row r="10">
      <c r="A10" s="0" t="n">
        <v>120</v>
      </c>
      <c r="B10" s="0" t="inlineStr">
        <is>
          <t>02/05/2025</t>
        </is>
      </c>
      <c r="C10" s="0" t="inlineStr">
        <is>
          <t>Outros Passivos:Adibras - Transitória de passivos</t>
        </is>
      </c>
      <c r="D10" s="0" t="n">
        <v>275.24</v>
      </c>
      <c r="E10" s="0" t="n"/>
      <c r="F10" s="0" t="inlineStr">
        <is>
          <t>Seguro C/Fogo 2024/2025 03/0004</t>
        </is>
      </c>
      <c r="G10" s="0" t="inlineStr">
        <is>
          <t>REST.RECANTO DA PRAIA DO CENTR</t>
        </is>
      </c>
      <c r="H10" s="0" t="inlineStr">
        <is>
          <t>Praça Mauá N. 15 / Loja 15-A (134 1/2)</t>
        </is>
      </c>
      <c r="I10" s="0" t="inlineStr">
        <is>
          <t>Seguro</t>
        </is>
      </c>
    </row>
    <row r="11">
      <c r="A11" s="0" t="n">
        <v>120</v>
      </c>
      <c r="B11" s="0" t="inlineStr">
        <is>
          <t>02/05/2025</t>
        </is>
      </c>
      <c r="C11" s="0" t="inlineStr">
        <is>
          <t>Outros Passivos:Adibras - Transitória de passivos</t>
        </is>
      </c>
      <c r="D11" s="0" t="n">
        <v>115.34</v>
      </c>
      <c r="E11" s="0" t="n"/>
      <c r="F11" s="0" t="inlineStr">
        <is>
          <t>Seguro C/Fogo Ref.2024/2025(30%) 05/0006</t>
        </is>
      </c>
      <c r="G11" s="0" t="inlineStr">
        <is>
          <t>SOUZA LOPES PROD.ALIMENTICIOS</t>
        </is>
      </c>
      <c r="H11" s="0" t="inlineStr">
        <is>
          <t>R MIGUEL COUTO, 143 LJA</t>
        </is>
      </c>
      <c r="I11" s="0" t="inlineStr">
        <is>
          <t>Seguro</t>
        </is>
      </c>
    </row>
    <row r="12">
      <c r="A12" s="0" t="n">
        <v>120</v>
      </c>
      <c r="B12" s="0" t="inlineStr">
        <is>
          <t>02/05/2025</t>
        </is>
      </c>
      <c r="C12" s="0" t="inlineStr">
        <is>
          <t>Outros Passivos:Adibras - Transitória de passivos</t>
        </is>
      </c>
      <c r="D12" s="0" t="n">
        <v>312.62</v>
      </c>
      <c r="E12" s="0" t="n"/>
      <c r="F12" s="0" t="inlineStr">
        <is>
          <t>Seguro C/Fogo 2024/2025 04/0006</t>
        </is>
      </c>
      <c r="G12" s="0" t="inlineStr">
        <is>
          <t>DUNA GRILL BAR E RESTAURANTE L</t>
        </is>
      </c>
      <c r="H12" s="0" t="inlineStr">
        <is>
          <t>Rua Evaristo Da Veiga N. 24 / Prédio (179 1/1)</t>
        </is>
      </c>
      <c r="I12" s="0" t="inlineStr">
        <is>
          <t>Seguro</t>
        </is>
      </c>
    </row>
    <row r="13">
      <c r="A13" s="0" t="n">
        <v>120</v>
      </c>
      <c r="B13" s="0" t="inlineStr">
        <is>
          <t>02/05/2025</t>
        </is>
      </c>
      <c r="C13" s="0" t="inlineStr">
        <is>
          <t>Outros Passivos:Adibras - Transitória de passivos</t>
        </is>
      </c>
      <c r="D13" s="0" t="n">
        <v>67.48</v>
      </c>
      <c r="E13" s="0" t="n"/>
      <c r="F13" s="0" t="inlineStr">
        <is>
          <t>Seguro C/Fogo Ref.2024/2025 04/0006</t>
        </is>
      </c>
      <c r="G13" s="0" t="inlineStr">
        <is>
          <t>RESTAURANTE DUROSÁRIO LTDA</t>
        </is>
      </c>
      <c r="H13" s="0" t="inlineStr">
        <is>
          <t>Rua Do Rosário N. 112 / Loja E Sobreloja (178 1.2/9)</t>
        </is>
      </c>
      <c r="I13" s="0" t="inlineStr">
        <is>
          <t>Seguro</t>
        </is>
      </c>
    </row>
    <row r="14">
      <c r="A14" s="0" t="n">
        <v>120</v>
      </c>
      <c r="B14" s="0" t="inlineStr">
        <is>
          <t>02/05/2025</t>
        </is>
      </c>
      <c r="C14" s="0" t="inlineStr">
        <is>
          <t>Outros Passivos:Adibras - Transitória de passivos</t>
        </is>
      </c>
      <c r="D14" s="0" t="n">
        <v>15.99</v>
      </c>
      <c r="E14" s="0" t="n"/>
      <c r="F14" s="0" t="inlineStr">
        <is>
          <t>Seguro C/Fogo Ref.2024/2025 04/0006</t>
        </is>
      </c>
      <c r="G14" s="0" t="inlineStr">
        <is>
          <t>IGNACIO FRANCISCO J P.BALLIVIA</t>
        </is>
      </c>
      <c r="H14" s="0" t="inlineStr">
        <is>
          <t>Rua Do Rosário N. 112 / 2º Andar (178 3/9)</t>
        </is>
      </c>
      <c r="I14" s="0" t="inlineStr">
        <is>
          <t>Seguro</t>
        </is>
      </c>
    </row>
    <row r="15">
      <c r="A15" s="0" t="n">
        <v>120</v>
      </c>
      <c r="B15" s="0" t="inlineStr">
        <is>
          <t>02/05/2025</t>
        </is>
      </c>
      <c r="C15" s="0" t="inlineStr">
        <is>
          <t>Outros Passivos:Adibras - Transitória de passivos</t>
        </is>
      </c>
      <c r="D15" s="0" t="n">
        <v>15.99</v>
      </c>
      <c r="E15" s="0" t="n"/>
      <c r="F15" s="0" t="inlineStr">
        <is>
          <t>Seguro C/Fogo Ref.2024/2025 04/0006</t>
        </is>
      </c>
      <c r="G15" s="0" t="inlineStr">
        <is>
          <t>LUIZ EDUARDO NOGUEIRA SORAGGI</t>
        </is>
      </c>
      <c r="H15" s="0" t="inlineStr">
        <is>
          <t>Rua Do Rosário N. 112 / 3º Andar (178 4/9)</t>
        </is>
      </c>
      <c r="I15" s="0" t="inlineStr">
        <is>
          <t>Seguro</t>
        </is>
      </c>
    </row>
    <row r="16">
      <c r="A16" s="0" t="n">
        <v>120</v>
      </c>
      <c r="B16" s="0" t="inlineStr">
        <is>
          <t>02/05/2025</t>
        </is>
      </c>
      <c r="C16" s="0" t="inlineStr">
        <is>
          <t>Outros Passivos:Adibras - Transitória de passivos</t>
        </is>
      </c>
      <c r="D16" s="0" t="n">
        <v>20.19</v>
      </c>
      <c r="E16" s="0" t="n"/>
      <c r="F16" s="0" t="inlineStr">
        <is>
          <t>Seguro C/Fogo Ref.2024/2025 04/0006</t>
        </is>
      </c>
      <c r="G16" s="0" t="inlineStr">
        <is>
          <t>INTEGRADA GESTÃO DE NEGÓCIOS L</t>
        </is>
      </c>
      <c r="H16" s="0" t="inlineStr">
        <is>
          <t>Rua Do Rosário N. 112 / 8º Andar Corresp Ao 9º  /  Sala 801 Parte (178 9.2/9)</t>
        </is>
      </c>
      <c r="I16" s="0" t="inlineStr">
        <is>
          <t>Seguro</t>
        </is>
      </c>
    </row>
    <row r="17">
      <c r="A17" s="0" t="n">
        <v>120</v>
      </c>
      <c r="B17" s="0" t="inlineStr">
        <is>
          <t>02/05/2025</t>
        </is>
      </c>
      <c r="C17" s="0" t="inlineStr">
        <is>
          <t>Outros Passivos:Adibras - Transitória de passivos</t>
        </is>
      </c>
      <c r="D17" s="0" t="n">
        <v>61.2</v>
      </c>
      <c r="E17" s="0" t="n"/>
      <c r="F17" s="0" t="inlineStr">
        <is>
          <t>Seguro C/Fogo Ref.2024/2025 05/0006</t>
        </is>
      </c>
      <c r="G17" s="0" t="n"/>
      <c r="H17" s="0" t="inlineStr">
        <is>
          <t>PCA SAENS PENA,67 LJA/SOB/PTE.LOJA</t>
        </is>
      </c>
      <c r="I17" s="0" t="inlineStr">
        <is>
          <t>Seguro</t>
        </is>
      </c>
    </row>
    <row r="18">
      <c r="A18" s="0" t="n">
        <v>120</v>
      </c>
      <c r="B18" s="0" t="inlineStr">
        <is>
          <t>02/05/2025</t>
        </is>
      </c>
      <c r="C18" s="0" t="inlineStr">
        <is>
          <t>Adibras - Transitória de ativos</t>
        </is>
      </c>
      <c r="D18" s="0" t="n"/>
      <c r="E18" s="0" t="n">
        <v>1207.51</v>
      </c>
      <c r="F18" s="0" t="inlineStr">
        <is>
          <t>Agua e Esgoto  10/2024</t>
        </is>
      </c>
      <c r="G18" s="0" t="inlineStr">
        <is>
          <t>JR BAZAR E MATERIAIS DE CONTRU</t>
        </is>
      </c>
      <c r="H18" s="0" t="inlineStr">
        <is>
          <t>R DAS MARRECAS,29 LOJA  A</t>
        </is>
      </c>
      <c r="I18" s="0" t="inlineStr">
        <is>
          <t>Água e Esgoto</t>
        </is>
      </c>
    </row>
    <row r="19">
      <c r="A19" s="0" t="n">
        <v>120</v>
      </c>
      <c r="B19" s="0" t="inlineStr">
        <is>
          <t>02/05/2025</t>
        </is>
      </c>
      <c r="C19" s="0" t="inlineStr">
        <is>
          <t>Adibras - Transitória de ativos</t>
        </is>
      </c>
      <c r="D19" s="0" t="n"/>
      <c r="E19" s="0" t="n">
        <v>649.14</v>
      </c>
      <c r="F19" s="0" t="inlineStr">
        <is>
          <t>Agua e Esgoto (70%) 10/0204</t>
        </is>
      </c>
      <c r="G19" s="0" t="inlineStr">
        <is>
          <t>HOUSE DOM MANUEL CAFETERIA LTD</t>
        </is>
      </c>
      <c r="H19" s="0" t="inlineStr">
        <is>
          <t>Rua Pedro I N. 14 / Loja (171 1/2)</t>
        </is>
      </c>
      <c r="I19" s="0" t="inlineStr">
        <is>
          <t>Água e Esgoto</t>
        </is>
      </c>
    </row>
    <row r="20">
      <c r="A20" s="0" t="n">
        <v>120</v>
      </c>
      <c r="B20" s="0" t="inlineStr">
        <is>
          <t>02/05/2025</t>
        </is>
      </c>
      <c r="C20" s="0" t="inlineStr">
        <is>
          <t>Adibras - Transitória de ativos</t>
        </is>
      </c>
      <c r="D20" s="0" t="n"/>
      <c r="E20" s="0" t="n">
        <v>335.25</v>
      </c>
      <c r="F20" s="0" t="inlineStr">
        <is>
          <t>Agua e Esgoto (30%) 11/2024</t>
        </is>
      </c>
      <c r="G20" s="0" t="inlineStr">
        <is>
          <t>SOUZA LOPES PROD.ALIMENTICIOS</t>
        </is>
      </c>
      <c r="H20" s="0" t="inlineStr">
        <is>
          <t>R MIGUEL COUTO, 143 LJA</t>
        </is>
      </c>
      <c r="I20" s="0" t="inlineStr">
        <is>
          <t>Água e Esgoto</t>
        </is>
      </c>
    </row>
    <row r="21">
      <c r="A21" s="0" t="n">
        <v>120</v>
      </c>
      <c r="B21" s="0" t="inlineStr">
        <is>
          <t>02/05/2025</t>
        </is>
      </c>
      <c r="C21" s="0" t="inlineStr">
        <is>
          <t>Adibras - Transitória de ativos</t>
        </is>
      </c>
      <c r="D21" s="0" t="n"/>
      <c r="E21" s="0" t="n">
        <v>219.31</v>
      </c>
      <c r="F21" s="0" t="inlineStr">
        <is>
          <t>Agua e Esgoto (70%) 10/2024</t>
        </is>
      </c>
      <c r="G21" s="0" t="inlineStr">
        <is>
          <t>MICHEL FALCAO ROSA E/OU</t>
        </is>
      </c>
      <c r="H21" s="0" t="inlineStr">
        <is>
          <t>Rua Da Alfândega N. 97 / Loja (187 1/2)</t>
        </is>
      </c>
      <c r="I21" s="0" t="inlineStr">
        <is>
          <t>Água e Esgoto</t>
        </is>
      </c>
    </row>
    <row r="22">
      <c r="A22" s="0" t="n">
        <v>120</v>
      </c>
      <c r="B22" s="0" t="inlineStr">
        <is>
          <t>02/05/2025</t>
        </is>
      </c>
      <c r="C22" s="0" t="inlineStr">
        <is>
          <t>Adibras - Transitória de ativos</t>
        </is>
      </c>
      <c r="D22" s="0" t="n"/>
      <c r="E22" s="0" t="n">
        <v>201.15</v>
      </c>
      <c r="F22" s="0" t="inlineStr">
        <is>
          <t>Agua e Esgoto (30%) 11/2024</t>
        </is>
      </c>
      <c r="G22" s="0" t="inlineStr">
        <is>
          <t>CARLOS FERNANDES DUARTE</t>
        </is>
      </c>
      <c r="H22" s="0" t="inlineStr">
        <is>
          <t>Rua Miguel Couto N. 143 / 1º Andar (121 2/3)</t>
        </is>
      </c>
      <c r="I22" s="0" t="inlineStr">
        <is>
          <t>Água e Esgoto</t>
        </is>
      </c>
    </row>
    <row r="23">
      <c r="A23" s="0" t="n">
        <v>120</v>
      </c>
      <c r="B23" s="0" t="inlineStr">
        <is>
          <t>02/05/2025</t>
        </is>
      </c>
      <c r="C23" s="0" t="inlineStr">
        <is>
          <t>Adibras - Transitória de ativos</t>
        </is>
      </c>
      <c r="D23" s="0" t="n"/>
      <c r="E23" s="0" t="n">
        <v>22.35</v>
      </c>
      <c r="F23" s="0" t="inlineStr">
        <is>
          <t>Agua e Esgoto (10%) 11/2024</t>
        </is>
      </c>
      <c r="G23" s="0" t="inlineStr">
        <is>
          <t>STUDIO DE DANCA FLAVIO MARQUES</t>
        </is>
      </c>
      <c r="H23" s="0" t="inlineStr">
        <is>
          <t>Rua Miguel Couto N. 143 / 2º Andar (121 3/3)</t>
        </is>
      </c>
      <c r="I23" s="0" t="inlineStr">
        <is>
          <t>Água e Esgoto</t>
        </is>
      </c>
    </row>
    <row r="24">
      <c r="A24" s="0" t="n">
        <v>120</v>
      </c>
      <c r="B24" s="0" t="inlineStr">
        <is>
          <t>02/05/2025</t>
        </is>
      </c>
      <c r="C24" s="0" t="inlineStr">
        <is>
          <t>Adibras - Transitória de ativos</t>
        </is>
      </c>
      <c r="D24" s="0" t="n"/>
      <c r="E24" s="0" t="n">
        <v>14.05</v>
      </c>
      <c r="F24" s="0" t="inlineStr">
        <is>
          <t>Seguro C/Fogo Ref.2024/2025 05/0006</t>
        </is>
      </c>
      <c r="G24" s="0" t="inlineStr">
        <is>
          <t>GALETO FORMULA II LTDA.</t>
        </is>
      </c>
      <c r="H24" s="0" t="inlineStr">
        <is>
          <t>Praça Saens Pena N. 67 / Parte Do Sobrado (144 2/3)</t>
        </is>
      </c>
      <c r="I24" s="0" t="inlineStr">
        <is>
          <t>Seguro</t>
        </is>
      </c>
    </row>
    <row r="25">
      <c r="A25" s="0" t="n">
        <v>120</v>
      </c>
      <c r="B25" s="0" t="inlineStr">
        <is>
          <t>02/05/2025</t>
        </is>
      </c>
      <c r="C25" s="0" t="inlineStr">
        <is>
          <t>Adibras - Transitória de ativos</t>
        </is>
      </c>
      <c r="D25" s="0" t="n"/>
      <c r="E25" s="0" t="n">
        <v>355.56</v>
      </c>
      <c r="F25" s="0" t="inlineStr">
        <is>
          <t>Seguro C/Fogo Ref.2024/2025 03/0004</t>
        </is>
      </c>
      <c r="G25" s="0" t="inlineStr">
        <is>
          <t>WESLEY FALK</t>
        </is>
      </c>
      <c r="H25" s="0" t="inlineStr">
        <is>
          <t>Praça Mauá N. 15 / 2º, 3º E 4º  Andares (134 2/2)</t>
        </is>
      </c>
      <c r="I25" s="0" t="inlineStr">
        <is>
          <t>Seguro</t>
        </is>
      </c>
    </row>
    <row r="26">
      <c r="A26" s="0" t="n">
        <v>120</v>
      </c>
      <c r="B26" s="0" t="inlineStr">
        <is>
          <t>02/05/2025</t>
        </is>
      </c>
      <c r="C26" s="0" t="inlineStr">
        <is>
          <t>Adibras - Transitória de ativos</t>
        </is>
      </c>
      <c r="D26" s="0" t="n"/>
      <c r="E26" s="0" t="n">
        <v>275.24</v>
      </c>
      <c r="F26" s="0" t="inlineStr">
        <is>
          <t>Seguro C/Fogo 2024/2025 03/0004</t>
        </is>
      </c>
      <c r="G26" s="0" t="inlineStr">
        <is>
          <t>REST.RECANTO DA PRAIA DO CENTR</t>
        </is>
      </c>
      <c r="H26" s="0" t="inlineStr">
        <is>
          <t>Praça Mauá N. 15 / Loja 15-A (134 1/2)</t>
        </is>
      </c>
      <c r="I26" s="0" t="inlineStr">
        <is>
          <t>Seguro</t>
        </is>
      </c>
    </row>
    <row r="27">
      <c r="A27" s="0" t="n">
        <v>120</v>
      </c>
      <c r="B27" s="0" t="inlineStr">
        <is>
          <t>02/05/2025</t>
        </is>
      </c>
      <c r="C27" s="0" t="inlineStr">
        <is>
          <t>Adibras - Transitória de ativos</t>
        </is>
      </c>
      <c r="D27" s="0" t="n"/>
      <c r="E27" s="0" t="n">
        <v>115.34</v>
      </c>
      <c r="F27" s="0" t="inlineStr">
        <is>
          <t>Seguro C/Fogo Ref.2024/2025(30%) 05/0006</t>
        </is>
      </c>
      <c r="G27" s="0" t="inlineStr">
        <is>
          <t>SOUZA LOPES PROD.ALIMENTICIOS</t>
        </is>
      </c>
      <c r="H27" s="0" t="inlineStr">
        <is>
          <t>R MIGUEL COUTO, 143 LJA</t>
        </is>
      </c>
      <c r="I27" s="0" t="inlineStr">
        <is>
          <t>Seguro</t>
        </is>
      </c>
    </row>
    <row r="28">
      <c r="A28" s="0" t="n">
        <v>120</v>
      </c>
      <c r="B28" s="0" t="inlineStr">
        <is>
          <t>02/05/2025</t>
        </is>
      </c>
      <c r="C28" s="0" t="inlineStr">
        <is>
          <t>Adibras - Transitória de ativos</t>
        </is>
      </c>
      <c r="D28" s="0" t="n"/>
      <c r="E28" s="0" t="n">
        <v>312.62</v>
      </c>
      <c r="F28" s="0" t="inlineStr">
        <is>
          <t>Seguro C/Fogo 2024/2025 04/0006</t>
        </is>
      </c>
      <c r="G28" s="0" t="inlineStr">
        <is>
          <t>DUNA GRILL BAR E RESTAURANTE L</t>
        </is>
      </c>
      <c r="H28" s="0" t="inlineStr">
        <is>
          <t>Rua Evaristo Da Veiga N. 24 / Prédio (179 1/1)</t>
        </is>
      </c>
      <c r="I28" s="0" t="inlineStr">
        <is>
          <t>Seguro</t>
        </is>
      </c>
    </row>
    <row r="29">
      <c r="A29" s="0" t="n">
        <v>120</v>
      </c>
      <c r="B29" s="0" t="inlineStr">
        <is>
          <t>02/05/2025</t>
        </is>
      </c>
      <c r="C29" s="0" t="inlineStr">
        <is>
          <t>Adibras - Transitória de ativos</t>
        </is>
      </c>
      <c r="D29" s="0" t="n"/>
      <c r="E29" s="0" t="n">
        <v>67.48</v>
      </c>
      <c r="F29" s="0" t="inlineStr">
        <is>
          <t>Seguro C/Fogo Ref.2024/2025 04/0006</t>
        </is>
      </c>
      <c r="G29" s="0" t="inlineStr">
        <is>
          <t>RESTAURANTE DUROSÁRIO LTDA</t>
        </is>
      </c>
      <c r="H29" s="0" t="inlineStr">
        <is>
          <t>Rua Do Rosário N. 112 / Loja E Sobreloja (178 1.2/9)</t>
        </is>
      </c>
      <c r="I29" s="0" t="inlineStr">
        <is>
          <t>Seguro</t>
        </is>
      </c>
    </row>
    <row r="30">
      <c r="A30" s="0" t="n">
        <v>120</v>
      </c>
      <c r="B30" s="0" t="inlineStr">
        <is>
          <t>02/05/2025</t>
        </is>
      </c>
      <c r="C30" s="0" t="inlineStr">
        <is>
          <t>Adibras - Transitória de ativos</t>
        </is>
      </c>
      <c r="D30" s="0" t="n"/>
      <c r="E30" s="0" t="n">
        <v>15.99</v>
      </c>
      <c r="F30" s="0" t="inlineStr">
        <is>
          <t>Seguro C/Fogo Ref.2024/2025 04/0006</t>
        </is>
      </c>
      <c r="G30" s="0" t="inlineStr">
        <is>
          <t>IGNACIO FRANCISCO J P.BALLIVIA</t>
        </is>
      </c>
      <c r="H30" s="0" t="inlineStr">
        <is>
          <t>Rua Do Rosário N. 112 / 2º Andar (178 3/9)</t>
        </is>
      </c>
      <c r="I30" s="0" t="inlineStr">
        <is>
          <t>Seguro</t>
        </is>
      </c>
    </row>
    <row r="31">
      <c r="A31" s="0" t="n">
        <v>120</v>
      </c>
      <c r="B31" s="0" t="inlineStr">
        <is>
          <t>02/05/2025</t>
        </is>
      </c>
      <c r="C31" s="0" t="inlineStr">
        <is>
          <t>Adibras - Transitória de ativos</t>
        </is>
      </c>
      <c r="D31" s="0" t="n"/>
      <c r="E31" s="0" t="n">
        <v>15.99</v>
      </c>
      <c r="F31" s="0" t="inlineStr">
        <is>
          <t>Seguro C/Fogo Ref.2024/2025 04/0006</t>
        </is>
      </c>
      <c r="G31" s="0" t="inlineStr">
        <is>
          <t>LUIZ EDUARDO NOGUEIRA SORAGGI</t>
        </is>
      </c>
      <c r="H31" s="0" t="inlineStr">
        <is>
          <t>Rua Do Rosário N. 112 / 3º Andar (178 4/9)</t>
        </is>
      </c>
      <c r="I31" s="0" t="inlineStr">
        <is>
          <t>Seguro</t>
        </is>
      </c>
    </row>
    <row r="32">
      <c r="A32" s="0" t="n">
        <v>120</v>
      </c>
      <c r="B32" s="0" t="inlineStr">
        <is>
          <t>02/05/2025</t>
        </is>
      </c>
      <c r="C32" s="0" t="inlineStr">
        <is>
          <t>Adibras - Transitória de ativos</t>
        </is>
      </c>
      <c r="D32" s="0" t="n"/>
      <c r="E32" s="0" t="n">
        <v>20.19</v>
      </c>
      <c r="F32" s="0" t="inlineStr">
        <is>
          <t>Seguro C/Fogo Ref.2024/2025 04/0006</t>
        </is>
      </c>
      <c r="G32" s="0" t="inlineStr">
        <is>
          <t>INTEGRADA GESTÃO DE NEGÓCIOS L</t>
        </is>
      </c>
      <c r="H32" s="0" t="inlineStr">
        <is>
          <t>Rua Do Rosário N. 112 / 8º Andar Corresp Ao 9º  /  Sala 801 Parte (178 9.2/9)</t>
        </is>
      </c>
      <c r="I32" s="0" t="inlineStr">
        <is>
          <t>Seguro</t>
        </is>
      </c>
    </row>
    <row r="33">
      <c r="A33" s="0" t="n">
        <v>120</v>
      </c>
      <c r="B33" s="0" t="inlineStr">
        <is>
          <t>02/05/2025</t>
        </is>
      </c>
      <c r="C33" s="0" t="inlineStr">
        <is>
          <t>Adibras - Transitória de ativos</t>
        </is>
      </c>
      <c r="D33" s="0" t="n"/>
      <c r="E33" s="0" t="n">
        <v>61.2</v>
      </c>
      <c r="F33" s="0" t="inlineStr">
        <is>
          <t>Seguro C/Fogo Ref.2024/2025 05/0006</t>
        </is>
      </c>
      <c r="G33" s="0" t="n"/>
      <c r="H33" s="0" t="inlineStr">
        <is>
          <t>PCA SAENS PENA,67 LJA/SOB/PTE.LOJA</t>
        </is>
      </c>
      <c r="I33" s="0" t="inlineStr">
        <is>
          <t>Seguro</t>
        </is>
      </c>
    </row>
    <row r="34">
      <c r="A34" s="0" t="n">
        <v>121</v>
      </c>
      <c r="B34" s="0" t="inlineStr">
        <is>
          <t>03/05/2025</t>
        </is>
      </c>
      <c r="C34" s="0" t="inlineStr">
        <is>
          <t>Outros Passivos:Adibras - Transitória de passivos</t>
        </is>
      </c>
      <c r="D34" s="0" t="n"/>
      <c r="E34" s="0" t="n">
        <v>225</v>
      </c>
      <c r="F34" s="0" t="inlineStr">
        <is>
          <t>Condominio  01/2025</t>
        </is>
      </c>
      <c r="G34" s="0" t="inlineStr">
        <is>
          <t>JR BAZAR E MATERIAIS DE CONTRU</t>
        </is>
      </c>
      <c r="H34" s="0" t="inlineStr">
        <is>
          <t>R DAS MARRECAS,29 LOJA  A</t>
        </is>
      </c>
      <c r="I34" s="0" t="inlineStr">
        <is>
          <t>Condomínio</t>
        </is>
      </c>
    </row>
    <row r="35">
      <c r="A35" s="0" t="n">
        <v>121</v>
      </c>
      <c r="B35" s="0" t="inlineStr">
        <is>
          <t>03/05/2025</t>
        </is>
      </c>
      <c r="C35" s="0" t="inlineStr">
        <is>
          <t>Outros Passivos:Adibras - Transitória de passivos</t>
        </is>
      </c>
      <c r="D35" s="0" t="n"/>
      <c r="E35" s="0" t="n">
        <v>1207.51</v>
      </c>
      <c r="F35" s="0" t="inlineStr">
        <is>
          <t>Agua e Esgoto  10/2024</t>
        </is>
      </c>
      <c r="G35" s="0" t="inlineStr">
        <is>
          <t>JR BAZAR E MATERIAIS DE CONTRU</t>
        </is>
      </c>
      <c r="H35" s="0" t="inlineStr">
        <is>
          <t>R DAS MARRECAS,29 LOJA  A</t>
        </is>
      </c>
      <c r="I35" s="0" t="inlineStr">
        <is>
          <t>Água e Esgoto</t>
        </is>
      </c>
    </row>
    <row r="36">
      <c r="A36" s="0" t="n">
        <v>121</v>
      </c>
      <c r="B36" s="0" t="inlineStr">
        <is>
          <t>03/05/2025</t>
        </is>
      </c>
      <c r="C36" s="0" t="inlineStr">
        <is>
          <t>Outros Passivos:Adibras - Transitória de passivos</t>
        </is>
      </c>
      <c r="D36" s="0" t="n"/>
      <c r="E36" s="0" t="n">
        <v>115.34</v>
      </c>
      <c r="F36" s="0" t="inlineStr">
        <is>
          <t>Seguro C/Fogo Ref.2024/2025(30%) 05/0006</t>
        </is>
      </c>
      <c r="G36" s="0" t="inlineStr">
        <is>
          <t>SOUZA LOPES PROD.ALIMENTICIOS</t>
        </is>
      </c>
      <c r="H36" s="0" t="inlineStr">
        <is>
          <t>R MIGUEL COUTO, 143 LJA</t>
        </is>
      </c>
      <c r="I36" s="0" t="inlineStr">
        <is>
          <t>Seguro</t>
        </is>
      </c>
    </row>
    <row r="37">
      <c r="A37" s="0" t="n">
        <v>121</v>
      </c>
      <c r="B37" s="0" t="inlineStr">
        <is>
          <t>03/05/2025</t>
        </is>
      </c>
      <c r="C37" s="0" t="inlineStr">
        <is>
          <t>Outros Passivos:Adibras - Transitória de passivos</t>
        </is>
      </c>
      <c r="D37" s="0" t="n"/>
      <c r="E37" s="0" t="n">
        <v>335.25</v>
      </c>
      <c r="F37" s="0" t="inlineStr">
        <is>
          <t>Agua e Esgoto  11/2024</t>
        </is>
      </c>
      <c r="G37" s="0" t="inlineStr">
        <is>
          <t>SOUZA LOPES PROD.ALIMENTICIOS</t>
        </is>
      </c>
      <c r="H37" s="0" t="inlineStr">
        <is>
          <t>R MIGUEL COUTO, 143 LJA</t>
        </is>
      </c>
      <c r="I37" s="0" t="inlineStr">
        <is>
          <t>Água e Esgoto</t>
        </is>
      </c>
    </row>
    <row r="38">
      <c r="A38" s="0" t="n">
        <v>121</v>
      </c>
      <c r="B38" s="0" t="inlineStr">
        <is>
          <t>03/05/2025</t>
        </is>
      </c>
      <c r="C38" s="0" t="inlineStr">
        <is>
          <t>Outros Passivos:Adibras - Transitória de passivos</t>
        </is>
      </c>
      <c r="D38" s="0" t="n"/>
      <c r="E38" s="0" t="n">
        <v>1657.96</v>
      </c>
      <c r="F38" s="0" t="inlineStr">
        <is>
          <t>Condominio  01/2025</t>
        </is>
      </c>
      <c r="G38" s="0" t="inlineStr">
        <is>
          <t>JULIANA DEGANI COUTINHO</t>
        </is>
      </c>
      <c r="H38" s="0" t="inlineStr">
        <is>
          <t>Rua Dr. Paulo Fróes Machado N. 95 - Loja - Nova Iguaçu (193 1/1)</t>
        </is>
      </c>
      <c r="I38" s="0" t="inlineStr">
        <is>
          <t>Condomínio</t>
        </is>
      </c>
    </row>
    <row r="39">
      <c r="A39" s="0" t="n">
        <v>121</v>
      </c>
      <c r="B39" s="0" t="inlineStr">
        <is>
          <t>03/05/2025</t>
        </is>
      </c>
      <c r="C39" s="0" t="inlineStr">
        <is>
          <t>Outros Passivos:Adibras - Transitória de passivos</t>
        </is>
      </c>
      <c r="D39" s="0" t="n"/>
      <c r="E39" s="0" t="n">
        <v>625.25</v>
      </c>
      <c r="F39" s="0" t="inlineStr">
        <is>
          <t>Seguro C/Fogo e  02/06 2024/2025 01/0006</t>
        </is>
      </c>
      <c r="G39" s="0" t="inlineStr">
        <is>
          <t>DUNA GRILL BAR E RESTAURANTE L</t>
        </is>
      </c>
      <c r="H39" s="0" t="inlineStr">
        <is>
          <t>Rua Evaristo Da Veiga N. 24 / Prédio (179 1/1)</t>
        </is>
      </c>
      <c r="I39" s="0" t="inlineStr">
        <is>
          <t>Seguro</t>
        </is>
      </c>
    </row>
    <row r="40">
      <c r="A40" s="0" t="n">
        <v>121</v>
      </c>
      <c r="B40" s="0" t="inlineStr">
        <is>
          <t>03/05/2025</t>
        </is>
      </c>
      <c r="C40" s="0" t="inlineStr">
        <is>
          <t>Outros Passivos:Adibras - Transitória de passivos</t>
        </is>
      </c>
      <c r="D40" s="0" t="n"/>
      <c r="E40" s="0" t="n">
        <v>1145.78</v>
      </c>
      <c r="F40" s="0" t="inlineStr">
        <is>
          <t>Iptu Divida Ativa Ref.2022 08/0048</t>
        </is>
      </c>
      <c r="G40" s="0" t="inlineStr">
        <is>
          <t>DUNA GRILL BAR E RESTAURANTE L</t>
        </is>
      </c>
      <c r="H40" s="0" t="inlineStr">
        <is>
          <t>Rua Evaristo Da Veiga N. 24 / Prédio (179 1/1)</t>
        </is>
      </c>
      <c r="I40" s="0" t="inlineStr">
        <is>
          <t>Dívida Ativa</t>
        </is>
      </c>
    </row>
    <row r="41">
      <c r="A41" s="0" t="n">
        <v>121</v>
      </c>
      <c r="B41" s="0" t="inlineStr">
        <is>
          <t>03/05/2025</t>
        </is>
      </c>
      <c r="C41" s="0" t="inlineStr">
        <is>
          <t>Outros Passivos:Adibras - Transitória de passivos</t>
        </is>
      </c>
      <c r="D41" s="0" t="n"/>
      <c r="E41" s="0" t="n">
        <v>2154.03</v>
      </c>
      <c r="F41" s="0" t="inlineStr">
        <is>
          <t>Iptu Divida Ativa Ref.2021+37/48 Ref.2020 21/0048</t>
        </is>
      </c>
      <c r="G41" s="0" t="inlineStr">
        <is>
          <t>DUNA GRILL BAR E RESTAURANTE L</t>
        </is>
      </c>
      <c r="H41" s="0" t="inlineStr">
        <is>
          <t>Rua Evaristo Da Veiga N. 24 / Prédio (179 1/1)</t>
        </is>
      </c>
      <c r="I41" s="0" t="inlineStr">
        <is>
          <t>Dívida Ativa</t>
        </is>
      </c>
    </row>
    <row r="42">
      <c r="A42" s="0" t="n">
        <v>121</v>
      </c>
      <c r="B42" s="0" t="inlineStr">
        <is>
          <t>03/05/2025</t>
        </is>
      </c>
      <c r="C42" s="0" t="inlineStr">
        <is>
          <t>Outros Passivos:Adibras - Transitória de passivos</t>
        </is>
      </c>
      <c r="D42" s="0" t="n"/>
      <c r="E42" s="0" t="n">
        <v>258.6</v>
      </c>
      <c r="F42" s="0" t="inlineStr">
        <is>
          <t>Seguro Fianca Ref.2024/2029 05/0060</t>
        </is>
      </c>
      <c r="G42" s="0" t="n"/>
      <c r="H42" s="0" t="inlineStr">
        <is>
          <t>Rua Sacadura Cabral N. 149 - Prédio (195 1/1)</t>
        </is>
      </c>
      <c r="I42" s="0" t="inlineStr">
        <is>
          <t>Seguro</t>
        </is>
      </c>
    </row>
    <row r="43">
      <c r="A43" s="0" t="n">
        <v>121</v>
      </c>
      <c r="B43" s="0" t="inlineStr">
        <is>
          <t>03/05/2025</t>
        </is>
      </c>
      <c r="C43" s="0" t="inlineStr">
        <is>
          <t>Outros Passivos:Adibras - Transitória de passivos</t>
        </is>
      </c>
      <c r="D43" s="0" t="n"/>
      <c r="E43" s="0" t="n">
        <v>364.91</v>
      </c>
      <c r="F43" s="0" t="inlineStr">
        <is>
          <t>Condominio  01/2025</t>
        </is>
      </c>
      <c r="G43" s="0" t="inlineStr">
        <is>
          <t>ERICK RIBEIRO DA SILVA</t>
        </is>
      </c>
      <c r="H43" s="0" t="inlineStr">
        <is>
          <t>R SANTOS TITARA,159/101 FTE</t>
        </is>
      </c>
      <c r="I43" s="0" t="inlineStr">
        <is>
          <t>Condomínio</t>
        </is>
      </c>
    </row>
    <row r="44">
      <c r="A44" s="0" t="n">
        <v>121</v>
      </c>
      <c r="B44" s="0" t="inlineStr">
        <is>
          <t>03/05/2025</t>
        </is>
      </c>
      <c r="C44" s="0" t="inlineStr">
        <is>
          <t>Outros Passivos:Adibras - Transitória de passivos</t>
        </is>
      </c>
      <c r="D44" s="0" t="n"/>
      <c r="E44" s="0" t="n">
        <v>22.35</v>
      </c>
      <c r="F44" s="0" t="inlineStr">
        <is>
          <t>Agua e Esgoto  11/2024</t>
        </is>
      </c>
      <c r="G44" s="0" t="inlineStr">
        <is>
          <t>STUDIO DE DANCA FLAVIO MARQUES</t>
        </is>
      </c>
      <c r="H44" s="0" t="inlineStr">
        <is>
          <t>Rua Miguel Couto N. 143 / 2º Andar (121 3/3)</t>
        </is>
      </c>
      <c r="I44" s="0" t="inlineStr">
        <is>
          <t>Água e Esgoto</t>
        </is>
      </c>
    </row>
    <row r="45">
      <c r="A45" s="0" t="n">
        <v>121</v>
      </c>
      <c r="B45" s="0" t="inlineStr">
        <is>
          <t>03/05/2025</t>
        </is>
      </c>
      <c r="C45" s="0" t="inlineStr">
        <is>
          <t>Outros Passivos:Adibras - Transitória de passivos</t>
        </is>
      </c>
      <c r="D45" s="0" t="n">
        <v>657.3200000000001</v>
      </c>
      <c r="E45" s="0" t="n"/>
      <c r="F45" s="0" t="inlineStr">
        <is>
          <t>Condominio  01/2025</t>
        </is>
      </c>
      <c r="G45" s="0" t="inlineStr">
        <is>
          <t>FORNEC.RIO TROPICAL BRASIL DE</t>
        </is>
      </c>
      <c r="H45" s="0" t="inlineStr">
        <is>
          <t>Rua Capitão Felix N. 110 / Loja 18 Rua 11 Blc P Pav 02 (138 1/1)</t>
        </is>
      </c>
      <c r="I45" s="0" t="inlineStr">
        <is>
          <t>Condomínio</t>
        </is>
      </c>
    </row>
    <row r="46">
      <c r="A46" s="0" t="n">
        <v>121</v>
      </c>
      <c r="B46" s="0" t="inlineStr">
        <is>
          <t>03/05/2025</t>
        </is>
      </c>
      <c r="C46" s="0" t="inlineStr">
        <is>
          <t>Outros Passivos:Adibras - Transitória de passivos</t>
        </is>
      </c>
      <c r="D46" s="0" t="n">
        <v>1531.33</v>
      </c>
      <c r="E46" s="0" t="n"/>
      <c r="F46" s="0" t="inlineStr">
        <is>
          <t>Condominio  01/2025</t>
        </is>
      </c>
      <c r="G46" s="0" t="inlineStr">
        <is>
          <t>JULIANA DEGANI COUTINHO</t>
        </is>
      </c>
      <c r="H46" s="0" t="inlineStr">
        <is>
          <t>Rua Dr. Paulo Fróes Machado N. 95 - Loja - Nova Iguaçu (193 1/1)</t>
        </is>
      </c>
      <c r="I46" s="0" t="inlineStr">
        <is>
          <t>Condomínio</t>
        </is>
      </c>
    </row>
    <row r="47">
      <c r="A47" s="0" t="n">
        <v>121</v>
      </c>
      <c r="B47" s="0" t="inlineStr">
        <is>
          <t>03/05/2025</t>
        </is>
      </c>
      <c r="C47" s="0" t="inlineStr">
        <is>
          <t>Outros Passivos:Adibras - Transitória de passivos</t>
        </is>
      </c>
      <c r="D47" s="0" t="n">
        <v>1247.4</v>
      </c>
      <c r="E47" s="0" t="n"/>
      <c r="F47" s="0" t="inlineStr">
        <is>
          <t>Condominio  01/2025</t>
        </is>
      </c>
      <c r="G47" s="0" t="inlineStr">
        <is>
          <t>RIO DERME FARMÁCIA DE MANIPULA</t>
        </is>
      </c>
      <c r="H47" s="0" t="inlineStr">
        <is>
          <t>Rua Dr. Paulo Fróes Machado N. 105 - Loja - Nova Iguaçu (194 1/1)</t>
        </is>
      </c>
      <c r="I47" s="0" t="inlineStr">
        <is>
          <t>Condomínio</t>
        </is>
      </c>
    </row>
    <row r="48">
      <c r="A48" s="0" t="n">
        <v>121</v>
      </c>
      <c r="B48" s="0" t="inlineStr">
        <is>
          <t>03/05/2025</t>
        </is>
      </c>
      <c r="C48" s="0" t="inlineStr">
        <is>
          <t>Outros Passivos:Adibras - Transitória de passivos</t>
        </is>
      </c>
      <c r="D48" s="0" t="n">
        <v>233.89</v>
      </c>
      <c r="E48" s="0" t="n"/>
      <c r="F48" s="0" t="inlineStr">
        <is>
          <t>Condominio varanda 01/2025</t>
        </is>
      </c>
      <c r="G48" s="0" t="inlineStr">
        <is>
          <t>DOM MANUEL DA BARRA PADARIA E</t>
        </is>
      </c>
      <c r="H48" s="0" t="inlineStr">
        <is>
          <t>Av. Das Américas N. 1155  /  Loja  D (150 1/1)</t>
        </is>
      </c>
      <c r="I48" s="0" t="inlineStr">
        <is>
          <t>Condomínio</t>
        </is>
      </c>
    </row>
    <row r="49">
      <c r="A49" s="0" t="n">
        <v>121</v>
      </c>
      <c r="B49" s="0" t="inlineStr">
        <is>
          <t>03/05/2025</t>
        </is>
      </c>
      <c r="C49" s="0" t="inlineStr">
        <is>
          <t>Outros Passivos:Adibras - Transitória de passivos</t>
        </is>
      </c>
      <c r="D49" s="0" t="n">
        <v>350</v>
      </c>
      <c r="E49" s="0" t="n"/>
      <c r="F49" s="0" t="inlineStr">
        <is>
          <t>Condominio Lja 01/2025</t>
        </is>
      </c>
      <c r="G49" s="0" t="inlineStr">
        <is>
          <t>DOM MANUEL DA BARRA PADARIA E</t>
        </is>
      </c>
      <c r="H49" s="0" t="inlineStr">
        <is>
          <t>Av. Das Américas N. 1155  /  Loja  D (150 1/1)</t>
        </is>
      </c>
      <c r="I49" s="0" t="inlineStr">
        <is>
          <t>Condomínio</t>
        </is>
      </c>
    </row>
    <row r="50">
      <c r="A50" s="0" t="n">
        <v>121</v>
      </c>
      <c r="B50" s="0" t="inlineStr">
        <is>
          <t>03/05/2025</t>
        </is>
      </c>
      <c r="C50" s="0" t="inlineStr">
        <is>
          <t>Outros Passivos:Adibras - Transitória de passivos</t>
        </is>
      </c>
      <c r="D50" s="0" t="n">
        <v>180.67</v>
      </c>
      <c r="E50" s="0" t="n"/>
      <c r="F50" s="0" t="inlineStr">
        <is>
          <t>Condominio Ref.35% de 55% 01/2025</t>
        </is>
      </c>
      <c r="G50" s="0" t="inlineStr">
        <is>
          <t>CHCC RESTAURANTE LTDA</t>
        </is>
      </c>
      <c r="H50" s="0" t="inlineStr">
        <is>
          <t>Av. Princesa Isabel N. 300 / Loja B Do Bloco A (128 1/1)</t>
        </is>
      </c>
      <c r="I50" s="0" t="inlineStr">
        <is>
          <t>Condomínio</t>
        </is>
      </c>
    </row>
    <row r="51">
      <c r="A51" s="0" t="n">
        <v>121</v>
      </c>
      <c r="B51" s="0" t="inlineStr">
        <is>
          <t>03/05/2025</t>
        </is>
      </c>
      <c r="C51" s="0" t="inlineStr">
        <is>
          <t>Outros Passivos:Adibras - Transitória de passivos</t>
        </is>
      </c>
      <c r="D51" s="0" t="n">
        <v>34.37</v>
      </c>
      <c r="E51" s="0" t="n"/>
      <c r="F51" s="0" t="inlineStr">
        <is>
          <t>Empregados Ref.Rescisão Jose de Assis 07/0012</t>
        </is>
      </c>
      <c r="G51" s="0" t="inlineStr">
        <is>
          <t>CHCC RESTAURANTE LTDA</t>
        </is>
      </c>
      <c r="H51" s="0" t="inlineStr">
        <is>
          <t>Av. Princesa Isabel N. 300 / Loja B Do Bloco A (128 1/1)</t>
        </is>
      </c>
    </row>
    <row r="52">
      <c r="A52" s="0" t="n">
        <v>121</v>
      </c>
      <c r="B52" s="0" t="inlineStr">
        <is>
          <t>03/05/2025</t>
        </is>
      </c>
      <c r="C52" s="0" t="inlineStr">
        <is>
          <t>Outros Passivos:Adibras - Transitória de passivos</t>
        </is>
      </c>
      <c r="D52" s="0" t="n"/>
      <c r="E52" s="0" t="n">
        <v>614.4</v>
      </c>
      <c r="F52" s="0" t="inlineStr">
        <is>
          <t>Condominio  12/2024</t>
        </is>
      </c>
      <c r="G52" s="0" t="inlineStr">
        <is>
          <t>FORNEC.RIO TROPICAL BRASIL DE</t>
        </is>
      </c>
      <c r="H52" s="0" t="inlineStr">
        <is>
          <t>Rua Capitão Felix N. 110 / Loja 18 Rua 11 Blc P Pav 02 (138 1/1)</t>
        </is>
      </c>
      <c r="I52" s="0" t="inlineStr">
        <is>
          <t>Condomínio</t>
        </is>
      </c>
    </row>
    <row r="53">
      <c r="A53" s="0" t="n">
        <v>121</v>
      </c>
      <c r="B53" s="0" t="inlineStr">
        <is>
          <t>03/05/2025</t>
        </is>
      </c>
      <c r="C53" s="0" t="inlineStr">
        <is>
          <t>Outros Passivos:Adibras - Transitória de passivos</t>
        </is>
      </c>
      <c r="D53" s="0" t="n"/>
      <c r="E53" s="0" t="n">
        <v>134.67</v>
      </c>
      <c r="F53" s="0" t="inlineStr">
        <is>
          <t>Seguro Fianca Ref.2024/2025 11/0011</t>
        </is>
      </c>
      <c r="G53" s="0" t="inlineStr">
        <is>
          <t>FORNEC.RIO TROPICAL BRASIL DE</t>
        </is>
      </c>
      <c r="H53" s="0" t="inlineStr">
        <is>
          <t>Rua Capitão Felix N. 110 / Loja 18 Rua 11 Blc P Pav 02 (138 1/1)</t>
        </is>
      </c>
      <c r="I53" s="0" t="inlineStr">
        <is>
          <t>Seguro</t>
        </is>
      </c>
    </row>
    <row r="54">
      <c r="A54" s="0" t="n">
        <v>121</v>
      </c>
      <c r="B54" s="0" t="inlineStr">
        <is>
          <t>03/05/2025</t>
        </is>
      </c>
      <c r="C54" s="0" t="inlineStr">
        <is>
          <t>Adibras - Transitória de ativos</t>
        </is>
      </c>
      <c r="D54" s="0" t="n">
        <v>225</v>
      </c>
      <c r="E54" s="0" t="n"/>
      <c r="F54" s="0" t="inlineStr">
        <is>
          <t>Condominio  01/2025</t>
        </is>
      </c>
      <c r="G54" s="0" t="inlineStr">
        <is>
          <t>JR BAZAR E MATERIAIS DE CONTRU</t>
        </is>
      </c>
      <c r="H54" s="0" t="inlineStr">
        <is>
          <t>R DAS MARRECAS,29 LOJA  A</t>
        </is>
      </c>
      <c r="I54" s="0" t="inlineStr">
        <is>
          <t>Condomínio</t>
        </is>
      </c>
    </row>
    <row r="55">
      <c r="A55" s="0" t="n">
        <v>121</v>
      </c>
      <c r="B55" s="0" t="inlineStr">
        <is>
          <t>03/05/2025</t>
        </is>
      </c>
      <c r="C55" s="0" t="inlineStr">
        <is>
          <t>Adibras - Transitória de ativos</t>
        </is>
      </c>
      <c r="D55" s="0" t="n">
        <v>1207.51</v>
      </c>
      <c r="E55" s="0" t="n"/>
      <c r="F55" s="0" t="inlineStr">
        <is>
          <t>Agua e Esgoto  10/2024</t>
        </is>
      </c>
      <c r="G55" s="0" t="inlineStr">
        <is>
          <t>JR BAZAR E MATERIAIS DE CONTRU</t>
        </is>
      </c>
      <c r="H55" s="0" t="inlineStr">
        <is>
          <t>R DAS MARRECAS,29 LOJA  A</t>
        </is>
      </c>
      <c r="I55" s="0" t="inlineStr">
        <is>
          <t>Água e Esgoto</t>
        </is>
      </c>
    </row>
    <row r="56">
      <c r="A56" s="0" t="n">
        <v>121</v>
      </c>
      <c r="B56" s="0" t="inlineStr">
        <is>
          <t>03/05/2025</t>
        </is>
      </c>
      <c r="C56" s="0" t="inlineStr">
        <is>
          <t>Adibras - Transitória de ativos</t>
        </is>
      </c>
      <c r="D56" s="0" t="n">
        <v>115.34</v>
      </c>
      <c r="E56" s="0" t="n"/>
      <c r="F56" s="0" t="inlineStr">
        <is>
          <t>Seguro C/Fogo Ref.2024/2025(30%) 05/0006</t>
        </is>
      </c>
      <c r="G56" s="0" t="inlineStr">
        <is>
          <t>SOUZA LOPES PROD.ALIMENTICIOS</t>
        </is>
      </c>
      <c r="H56" s="0" t="inlineStr">
        <is>
          <t>R MIGUEL COUTO, 143 LJA</t>
        </is>
      </c>
      <c r="I56" s="0" t="inlineStr">
        <is>
          <t>Seguro</t>
        </is>
      </c>
    </row>
    <row r="57">
      <c r="A57" s="0" t="n">
        <v>121</v>
      </c>
      <c r="B57" s="0" t="inlineStr">
        <is>
          <t>03/05/2025</t>
        </is>
      </c>
      <c r="C57" s="0" t="inlineStr">
        <is>
          <t>Adibras - Transitória de ativos</t>
        </is>
      </c>
      <c r="D57" s="0" t="n">
        <v>335.25</v>
      </c>
      <c r="E57" s="0" t="n"/>
      <c r="F57" s="0" t="inlineStr">
        <is>
          <t>Agua e Esgoto  11/2024</t>
        </is>
      </c>
      <c r="G57" s="0" t="inlineStr">
        <is>
          <t>SOUZA LOPES PROD.ALIMENTICIOS</t>
        </is>
      </c>
      <c r="H57" s="0" t="inlineStr">
        <is>
          <t>R MIGUEL COUTO, 143 LJA</t>
        </is>
      </c>
      <c r="I57" s="0" t="inlineStr">
        <is>
          <t>Água e Esgoto</t>
        </is>
      </c>
    </row>
    <row r="58">
      <c r="A58" s="0" t="n">
        <v>121</v>
      </c>
      <c r="B58" s="0" t="inlineStr">
        <is>
          <t>03/05/2025</t>
        </is>
      </c>
      <c r="C58" s="0" t="inlineStr">
        <is>
          <t>Adibras - Transitória de ativos</t>
        </is>
      </c>
      <c r="D58" s="0" t="n">
        <v>1657.96</v>
      </c>
      <c r="E58" s="0" t="n"/>
      <c r="F58" s="0" t="inlineStr">
        <is>
          <t>Condominio  01/2025</t>
        </is>
      </c>
      <c r="G58" s="0" t="inlineStr">
        <is>
          <t>JULIANA DEGANI COUTINHO</t>
        </is>
      </c>
      <c r="H58" s="0" t="inlineStr">
        <is>
          <t>Rua Dr. Paulo Fróes Machado N. 95 - Loja - Nova Iguaçu (193 1/1)</t>
        </is>
      </c>
      <c r="I58" s="0" t="inlineStr">
        <is>
          <t>Condomínio</t>
        </is>
      </c>
    </row>
    <row r="59">
      <c r="A59" s="0" t="n">
        <v>121</v>
      </c>
      <c r="B59" s="0" t="inlineStr">
        <is>
          <t>03/05/2025</t>
        </is>
      </c>
      <c r="C59" s="0" t="inlineStr">
        <is>
          <t>Adibras - Transitória de ativos</t>
        </is>
      </c>
      <c r="D59" s="0" t="n">
        <v>625.25</v>
      </c>
      <c r="E59" s="0" t="n"/>
      <c r="F59" s="0" t="inlineStr">
        <is>
          <t>Seguro C/Fogo e  02/06 2024/2025 01/0006</t>
        </is>
      </c>
      <c r="G59" s="0" t="inlineStr">
        <is>
          <t>DUNA GRILL BAR E RESTAURANTE L</t>
        </is>
      </c>
      <c r="H59" s="0" t="inlineStr">
        <is>
          <t>Rua Evaristo Da Veiga N. 24 / Prédio (179 1/1)</t>
        </is>
      </c>
      <c r="I59" s="0" t="inlineStr">
        <is>
          <t>Seguro</t>
        </is>
      </c>
    </row>
    <row r="60">
      <c r="A60" s="0" t="n">
        <v>121</v>
      </c>
      <c r="B60" s="0" t="inlineStr">
        <is>
          <t>03/05/2025</t>
        </is>
      </c>
      <c r="C60" s="0" t="inlineStr">
        <is>
          <t>Adibras - Transitória de ativos</t>
        </is>
      </c>
      <c r="D60" s="0" t="n">
        <v>1145.78</v>
      </c>
      <c r="E60" s="0" t="n"/>
      <c r="F60" s="0" t="inlineStr">
        <is>
          <t>Iptu Divida Ativa Ref.2022 08/0048</t>
        </is>
      </c>
      <c r="G60" s="0" t="inlineStr">
        <is>
          <t>DUNA GRILL BAR E RESTAURANTE L</t>
        </is>
      </c>
      <c r="H60" s="0" t="inlineStr">
        <is>
          <t>Rua Evaristo Da Veiga N. 24 / Prédio (179 1/1)</t>
        </is>
      </c>
      <c r="I60" s="0" t="inlineStr">
        <is>
          <t>Dívida Ativa</t>
        </is>
      </c>
    </row>
    <row r="61">
      <c r="A61" s="0" t="n">
        <v>121</v>
      </c>
      <c r="B61" s="0" t="inlineStr">
        <is>
          <t>03/05/2025</t>
        </is>
      </c>
      <c r="C61" s="0" t="inlineStr">
        <is>
          <t>Adibras - Transitória de ativos</t>
        </is>
      </c>
      <c r="D61" s="0" t="n">
        <v>2154.03</v>
      </c>
      <c r="E61" s="0" t="n"/>
      <c r="F61" s="0" t="inlineStr">
        <is>
          <t>Iptu Divida Ativa Ref.2021+37/48 Ref.2020 21/0048</t>
        </is>
      </c>
      <c r="G61" s="0" t="inlineStr">
        <is>
          <t>DUNA GRILL BAR E RESTAURANTE L</t>
        </is>
      </c>
      <c r="H61" s="0" t="inlineStr">
        <is>
          <t>Rua Evaristo Da Veiga N. 24 / Prédio (179 1/1)</t>
        </is>
      </c>
      <c r="I61" s="0" t="inlineStr">
        <is>
          <t>Dívida Ativa</t>
        </is>
      </c>
    </row>
    <row r="62">
      <c r="A62" s="0" t="n">
        <v>121</v>
      </c>
      <c r="B62" s="0" t="inlineStr">
        <is>
          <t>03/05/2025</t>
        </is>
      </c>
      <c r="C62" s="0" t="inlineStr">
        <is>
          <t>Adibras - Transitória de ativos</t>
        </is>
      </c>
      <c r="D62" s="0" t="n">
        <v>258.6</v>
      </c>
      <c r="E62" s="0" t="n"/>
      <c r="F62" s="0" t="inlineStr">
        <is>
          <t>Seguro Fianca Ref.2024/2029 05/0060</t>
        </is>
      </c>
      <c r="G62" s="0" t="n"/>
      <c r="H62" s="0" t="inlineStr">
        <is>
          <t>Rua Sacadura Cabral N. 149 - Prédio (195 1/1)</t>
        </is>
      </c>
      <c r="I62" s="0" t="inlineStr">
        <is>
          <t>Seguro</t>
        </is>
      </c>
    </row>
    <row r="63">
      <c r="A63" s="0" t="n">
        <v>121</v>
      </c>
      <c r="B63" s="0" t="inlineStr">
        <is>
          <t>03/05/2025</t>
        </is>
      </c>
      <c r="C63" s="0" t="inlineStr">
        <is>
          <t>Adibras - Transitória de ativos</t>
        </is>
      </c>
      <c r="D63" s="0" t="n">
        <v>364.91</v>
      </c>
      <c r="E63" s="0" t="n"/>
      <c r="F63" s="0" t="inlineStr">
        <is>
          <t>Condominio  01/2025</t>
        </is>
      </c>
      <c r="G63" s="0" t="inlineStr">
        <is>
          <t>ERICK RIBEIRO DA SILVA</t>
        </is>
      </c>
      <c r="H63" s="0" t="inlineStr">
        <is>
          <t>R SANTOS TITARA,159/101 FTE</t>
        </is>
      </c>
      <c r="I63" s="0" t="inlineStr">
        <is>
          <t>Condomínio</t>
        </is>
      </c>
    </row>
    <row r="64">
      <c r="A64" s="0" t="n">
        <v>121</v>
      </c>
      <c r="B64" s="0" t="inlineStr">
        <is>
          <t>03/05/2025</t>
        </is>
      </c>
      <c r="C64" s="0" t="inlineStr">
        <is>
          <t>Adibras - Transitória de ativos</t>
        </is>
      </c>
      <c r="D64" s="0" t="n">
        <v>22.35</v>
      </c>
      <c r="E64" s="0" t="n"/>
      <c r="F64" s="0" t="inlineStr">
        <is>
          <t>Agua e Esgoto  11/2024</t>
        </is>
      </c>
      <c r="G64" s="0" t="inlineStr">
        <is>
          <t>STUDIO DE DANCA FLAVIO MARQUES</t>
        </is>
      </c>
      <c r="H64" s="0" t="inlineStr">
        <is>
          <t>Rua Miguel Couto N. 143 / 2º Andar (121 3/3)</t>
        </is>
      </c>
      <c r="I64" s="0" t="inlineStr">
        <is>
          <t>Água e Esgoto</t>
        </is>
      </c>
    </row>
    <row r="65">
      <c r="A65" s="0" t="n">
        <v>121</v>
      </c>
      <c r="B65" s="0" t="inlineStr">
        <is>
          <t>03/05/2025</t>
        </is>
      </c>
      <c r="C65" s="0" t="inlineStr">
        <is>
          <t>Adibras - Transitória de ativos</t>
        </is>
      </c>
      <c r="D65" s="0" t="n"/>
      <c r="E65" s="0" t="n">
        <v>657.3200000000001</v>
      </c>
      <c r="F65" s="0" t="inlineStr">
        <is>
          <t>Condominio  01/2025</t>
        </is>
      </c>
      <c r="G65" s="0" t="inlineStr">
        <is>
          <t>FORNEC.RIO TROPICAL BRASIL DE</t>
        </is>
      </c>
      <c r="H65" s="0" t="inlineStr">
        <is>
          <t>Rua Capitão Felix N. 110 / Loja 18 Rua 11 Blc P Pav 02 (138 1/1)</t>
        </is>
      </c>
      <c r="I65" s="0" t="inlineStr">
        <is>
          <t>Condomínio</t>
        </is>
      </c>
    </row>
    <row r="66">
      <c r="A66" s="0" t="n">
        <v>121</v>
      </c>
      <c r="B66" s="0" t="inlineStr">
        <is>
          <t>03/05/2025</t>
        </is>
      </c>
      <c r="C66" s="0" t="inlineStr">
        <is>
          <t>Adibras - Transitória de ativos</t>
        </is>
      </c>
      <c r="D66" s="0" t="n"/>
      <c r="E66" s="0" t="n">
        <v>1531.33</v>
      </c>
      <c r="F66" s="0" t="inlineStr">
        <is>
          <t>Condominio  01/2025</t>
        </is>
      </c>
      <c r="G66" s="0" t="inlineStr">
        <is>
          <t>JULIANA DEGANI COUTINHO</t>
        </is>
      </c>
      <c r="H66" s="0" t="inlineStr">
        <is>
          <t>Rua Dr. Paulo Fróes Machado N. 95 - Loja - Nova Iguaçu (193 1/1)</t>
        </is>
      </c>
      <c r="I66" s="0" t="inlineStr">
        <is>
          <t>Condomínio</t>
        </is>
      </c>
    </row>
    <row r="67">
      <c r="A67" s="0" t="n">
        <v>121</v>
      </c>
      <c r="B67" s="0" t="inlineStr">
        <is>
          <t>03/05/2025</t>
        </is>
      </c>
      <c r="C67" s="0" t="inlineStr">
        <is>
          <t>Adibras - Transitória de ativos</t>
        </is>
      </c>
      <c r="D67" s="0" t="n"/>
      <c r="E67" s="0" t="n">
        <v>1247.4</v>
      </c>
      <c r="F67" s="0" t="inlineStr">
        <is>
          <t>Condominio  01/2025</t>
        </is>
      </c>
      <c r="G67" s="0" t="inlineStr">
        <is>
          <t>RIO DERME FARMÁCIA DE MANIPULA</t>
        </is>
      </c>
      <c r="H67" s="0" t="inlineStr">
        <is>
          <t>Rua Dr. Paulo Fróes Machado N. 105 - Loja - Nova Iguaçu (194 1/1)</t>
        </is>
      </c>
      <c r="I67" s="0" t="inlineStr">
        <is>
          <t>Condomínio</t>
        </is>
      </c>
    </row>
    <row r="68">
      <c r="A68" s="0" t="n">
        <v>121</v>
      </c>
      <c r="B68" s="0" t="inlineStr">
        <is>
          <t>03/05/2025</t>
        </is>
      </c>
      <c r="C68" s="0" t="inlineStr">
        <is>
          <t>Adibras - Transitória de ativos</t>
        </is>
      </c>
      <c r="D68" s="0" t="n"/>
      <c r="E68" s="0" t="n">
        <v>233.89</v>
      </c>
      <c r="F68" s="0" t="inlineStr">
        <is>
          <t>Condominio varanda 01/2025</t>
        </is>
      </c>
      <c r="G68" s="0" t="inlineStr">
        <is>
          <t>DOM MANUEL DA BARRA PADARIA E</t>
        </is>
      </c>
      <c r="H68" s="0" t="inlineStr">
        <is>
          <t>Av. Das Américas N. 1155  /  Loja  D (150 1/1)</t>
        </is>
      </c>
      <c r="I68" s="0" t="inlineStr">
        <is>
          <t>Condomínio</t>
        </is>
      </c>
    </row>
    <row r="69">
      <c r="A69" s="0" t="n">
        <v>121</v>
      </c>
      <c r="B69" s="0" t="inlineStr">
        <is>
          <t>03/05/2025</t>
        </is>
      </c>
      <c r="C69" s="0" t="inlineStr">
        <is>
          <t>Adibras - Transitória de ativos</t>
        </is>
      </c>
      <c r="D69" s="0" t="n"/>
      <c r="E69" s="0" t="n">
        <v>350</v>
      </c>
      <c r="F69" s="0" t="inlineStr">
        <is>
          <t>Condominio Lja 01/2025</t>
        </is>
      </c>
      <c r="G69" s="0" t="inlineStr">
        <is>
          <t>DOM MANUEL DA BARRA PADARIA E</t>
        </is>
      </c>
      <c r="H69" s="0" t="inlineStr">
        <is>
          <t>Av. Das Américas N. 1155  /  Loja  D (150 1/1)</t>
        </is>
      </c>
      <c r="I69" s="0" t="inlineStr">
        <is>
          <t>Condomínio</t>
        </is>
      </c>
    </row>
    <row r="70">
      <c r="A70" s="0" t="n">
        <v>121</v>
      </c>
      <c r="B70" s="0" t="inlineStr">
        <is>
          <t>03/05/2025</t>
        </is>
      </c>
      <c r="C70" s="0" t="inlineStr">
        <is>
          <t>Adibras - Transitória de ativos</t>
        </is>
      </c>
      <c r="D70" s="0" t="n"/>
      <c r="E70" s="0" t="n">
        <v>180.67</v>
      </c>
      <c r="F70" s="0" t="inlineStr">
        <is>
          <t>Condominio Ref.35% de 55% 01/2025</t>
        </is>
      </c>
      <c r="G70" s="0" t="inlineStr">
        <is>
          <t>CHCC RESTAURANTE LTDA</t>
        </is>
      </c>
      <c r="H70" s="0" t="inlineStr">
        <is>
          <t>Av. Princesa Isabel N. 300 / Loja B Do Bloco A (128 1/1)</t>
        </is>
      </c>
      <c r="I70" s="0" t="inlineStr">
        <is>
          <t>Condomínio</t>
        </is>
      </c>
    </row>
    <row r="71">
      <c r="A71" s="0" t="n">
        <v>121</v>
      </c>
      <c r="B71" s="0" t="inlineStr">
        <is>
          <t>03/05/2025</t>
        </is>
      </c>
      <c r="C71" s="0" t="inlineStr">
        <is>
          <t>Adibras - Transitória de ativos</t>
        </is>
      </c>
      <c r="D71" s="0" t="n"/>
      <c r="E71" s="0" t="n">
        <v>34.37</v>
      </c>
      <c r="F71" s="0" t="inlineStr">
        <is>
          <t>Empregados Ref.Rescisão Jose de Assis 07/0012</t>
        </is>
      </c>
      <c r="G71" s="0" t="inlineStr">
        <is>
          <t>CHCC RESTAURANTE LTDA</t>
        </is>
      </c>
      <c r="H71" s="0" t="inlineStr">
        <is>
          <t>Av. Princesa Isabel N. 300 / Loja B Do Bloco A (128 1/1)</t>
        </is>
      </c>
    </row>
    <row r="72">
      <c r="A72" s="0" t="n">
        <v>121</v>
      </c>
      <c r="B72" s="0" t="inlineStr">
        <is>
          <t>03/05/2025</t>
        </is>
      </c>
      <c r="C72" s="0" t="inlineStr">
        <is>
          <t>Adibras - Transitória de ativos</t>
        </is>
      </c>
      <c r="D72" s="0" t="n">
        <v>614.4</v>
      </c>
      <c r="E72" s="0" t="n"/>
      <c r="F72" s="0" t="inlineStr">
        <is>
          <t>Condominio  12/2024</t>
        </is>
      </c>
      <c r="G72" s="0" t="inlineStr">
        <is>
          <t>FORNEC.RIO TROPICAL BRASIL DE</t>
        </is>
      </c>
      <c r="H72" s="0" t="inlineStr">
        <is>
          <t>Rua Capitão Felix N. 110 / Loja 18 Rua 11 Blc P Pav 02 (138 1/1)</t>
        </is>
      </c>
      <c r="I72" s="0" t="inlineStr">
        <is>
          <t>Condomínio</t>
        </is>
      </c>
    </row>
    <row r="73">
      <c r="A73" s="0" t="n">
        <v>121</v>
      </c>
      <c r="B73" s="0" t="inlineStr">
        <is>
          <t>03/05/2025</t>
        </is>
      </c>
      <c r="C73" s="0" t="inlineStr">
        <is>
          <t>Adibras - Transitória de ativos</t>
        </is>
      </c>
      <c r="D73" s="0" t="n">
        <v>134.67</v>
      </c>
      <c r="E73" s="0" t="n"/>
      <c r="F73" s="0" t="inlineStr">
        <is>
          <t>Seguro Fianca Ref.2024/2025 11/0011</t>
        </is>
      </c>
      <c r="G73" s="0" t="inlineStr">
        <is>
          <t>FORNEC.RIO TROPICAL BRASIL DE</t>
        </is>
      </c>
      <c r="H73" s="0" t="inlineStr">
        <is>
          <t>Rua Capitão Felix N. 110 / Loja 18 Rua 11 Blc P Pav 02 (138 1/1)</t>
        </is>
      </c>
      <c r="I73" s="0" t="inlineStr">
        <is>
          <t>Seguro</t>
        </is>
      </c>
    </row>
    <row r="74">
      <c r="A74" s="0" t="n">
        <v>122</v>
      </c>
      <c r="B74" s="0" t="inlineStr">
        <is>
          <t>06/05/2025</t>
        </is>
      </c>
      <c r="C74" s="0" t="inlineStr">
        <is>
          <t>Outros Passivos:Adibras - Transitória de passivos</t>
        </is>
      </c>
      <c r="D74" s="0" t="n"/>
      <c r="E74" s="0" t="n">
        <v>660</v>
      </c>
      <c r="F74" s="0" t="inlineStr">
        <is>
          <t>Condominio  12/2024</t>
        </is>
      </c>
      <c r="G74" s="0" t="inlineStr">
        <is>
          <t>IGNACIO FRANCISCO J P.BALLIVIA</t>
        </is>
      </c>
      <c r="H74" s="0" t="inlineStr">
        <is>
          <t>Rua Do Rosário N. 112 / 2º Andar (178 3/9)</t>
        </is>
      </c>
      <c r="I74" s="0" t="inlineStr">
        <is>
          <t>Condomínio</t>
        </is>
      </c>
    </row>
    <row r="75">
      <c r="A75" s="0" t="n">
        <v>122</v>
      </c>
      <c r="B75" s="0" t="inlineStr">
        <is>
          <t>06/05/2025</t>
        </is>
      </c>
      <c r="C75" s="0" t="inlineStr">
        <is>
          <t>Outros Passivos:Adibras - Transitória de passivos</t>
        </is>
      </c>
      <c r="D75" s="0" t="n"/>
      <c r="E75" s="0" t="n">
        <v>15.99</v>
      </c>
      <c r="F75" s="0" t="inlineStr">
        <is>
          <t>Seguro C/Fogo Ref.2024/2025 04/0006</t>
        </is>
      </c>
      <c r="G75" s="0" t="inlineStr">
        <is>
          <t>IGNACIO FRANCISCO J P.BALLIVIA</t>
        </is>
      </c>
      <c r="H75" s="0" t="inlineStr">
        <is>
          <t>Rua Do Rosário N. 112 / 2º Andar (178 3/9)</t>
        </is>
      </c>
      <c r="I75" s="0" t="inlineStr">
        <is>
          <t>Seguro</t>
        </is>
      </c>
    </row>
    <row r="76">
      <c r="A76" s="0" t="n">
        <v>122</v>
      </c>
      <c r="B76" s="0" t="inlineStr">
        <is>
          <t>06/05/2025</t>
        </is>
      </c>
      <c r="C76" s="0" t="inlineStr">
        <is>
          <t>Outros Passivos:Adibras - Transitória de passivos</t>
        </is>
      </c>
      <c r="D76" s="0" t="n"/>
      <c r="E76" s="0" t="n">
        <v>90.44</v>
      </c>
      <c r="F76" s="0" t="inlineStr">
        <is>
          <t>Iptu Divida Ativa 2020 (194) 37/0048</t>
        </is>
      </c>
      <c r="G76" s="0" t="inlineStr">
        <is>
          <t>BALLETARRJ ESCOLA DE DANCA LTD</t>
        </is>
      </c>
      <c r="H76" s="0" t="inlineStr">
        <is>
          <t>Rua São Francisco Xavier N. 194 Sobrado E 196 Sobrado (132 3/5)</t>
        </is>
      </c>
      <c r="I76" s="0" t="inlineStr">
        <is>
          <t>Dívida Ativa</t>
        </is>
      </c>
    </row>
    <row r="77">
      <c r="A77" s="0" t="n">
        <v>122</v>
      </c>
      <c r="B77" s="0" t="inlineStr">
        <is>
          <t>06/05/2025</t>
        </is>
      </c>
      <c r="C77" s="0" t="inlineStr">
        <is>
          <t>Outros Passivos:Adibras - Transitória de passivos</t>
        </is>
      </c>
      <c r="D77" s="0" t="n"/>
      <c r="E77" s="0" t="n">
        <v>302.52</v>
      </c>
      <c r="F77" s="0" t="inlineStr">
        <is>
          <t>Iptu Divida Ativa 2020 (196) 37/0048</t>
        </is>
      </c>
      <c r="G77" s="0" t="inlineStr">
        <is>
          <t>BALLETARRJ ESCOLA DE DANCA LTD</t>
        </is>
      </c>
      <c r="H77" s="0" t="inlineStr">
        <is>
          <t>Rua São Francisco Xavier N. 194 Sobrado E 196 Sobrado (132 3/5)</t>
        </is>
      </c>
      <c r="I77" s="0" t="inlineStr">
        <is>
          <t>Dívida Ativa</t>
        </is>
      </c>
    </row>
    <row r="78">
      <c r="A78" s="0" t="n">
        <v>122</v>
      </c>
      <c r="B78" s="0" t="inlineStr">
        <is>
          <t>06/05/2025</t>
        </is>
      </c>
      <c r="C78" s="0" t="inlineStr">
        <is>
          <t>Outros Passivos:Adibras - Transitória de passivos</t>
        </is>
      </c>
      <c r="D78" s="0" t="n">
        <v>71.19</v>
      </c>
      <c r="E78" s="0" t="n"/>
      <c r="F78" s="0" t="inlineStr">
        <is>
          <t>Seguro C/Fogo  01/0004</t>
        </is>
      </c>
      <c r="G78" s="0" t="inlineStr">
        <is>
          <t>MICHEL FALCAO ROSA E/OU</t>
        </is>
      </c>
      <c r="H78" s="0" t="inlineStr">
        <is>
          <t>Rua Da Alfândega N. 97 / Loja (187 1/2)</t>
        </is>
      </c>
      <c r="I78" s="0" t="inlineStr">
        <is>
          <t>Seguro</t>
        </is>
      </c>
    </row>
    <row r="79">
      <c r="A79" s="0" t="n">
        <v>122</v>
      </c>
      <c r="B79" s="0" t="inlineStr">
        <is>
          <t>06/05/2025</t>
        </is>
      </c>
      <c r="C79" s="0" t="inlineStr">
        <is>
          <t>Adibras - Transitória de ativos</t>
        </is>
      </c>
      <c r="D79" s="0" t="n">
        <v>660</v>
      </c>
      <c r="E79" s="0" t="n"/>
      <c r="F79" s="0" t="inlineStr">
        <is>
          <t>Condominio  12/2024</t>
        </is>
      </c>
      <c r="G79" s="0" t="inlineStr">
        <is>
          <t>IGNACIO FRANCISCO J P.BALLIVIA</t>
        </is>
      </c>
      <c r="H79" s="0" t="inlineStr">
        <is>
          <t>Rua Do Rosário N. 112 / 2º Andar (178 3/9)</t>
        </is>
      </c>
      <c r="I79" s="0" t="inlineStr">
        <is>
          <t>Condomínio</t>
        </is>
      </c>
    </row>
    <row r="80">
      <c r="A80" s="0" t="n">
        <v>122</v>
      </c>
      <c r="B80" s="0" t="inlineStr">
        <is>
          <t>06/05/2025</t>
        </is>
      </c>
      <c r="C80" s="0" t="inlineStr">
        <is>
          <t>Adibras - Transitória de ativos</t>
        </is>
      </c>
      <c r="D80" s="0" t="n">
        <v>15.99</v>
      </c>
      <c r="E80" s="0" t="n"/>
      <c r="F80" s="0" t="inlineStr">
        <is>
          <t>Seguro C/Fogo Ref.2024/2025 04/0006</t>
        </is>
      </c>
      <c r="G80" s="0" t="inlineStr">
        <is>
          <t>IGNACIO FRANCISCO J P.BALLIVIA</t>
        </is>
      </c>
      <c r="H80" s="0" t="inlineStr">
        <is>
          <t>Rua Do Rosário N. 112 / 2º Andar (178 3/9)</t>
        </is>
      </c>
      <c r="I80" s="0" t="inlineStr">
        <is>
          <t>Seguro</t>
        </is>
      </c>
    </row>
    <row r="81">
      <c r="A81" s="0" t="n">
        <v>122</v>
      </c>
      <c r="B81" s="0" t="inlineStr">
        <is>
          <t>06/05/2025</t>
        </is>
      </c>
      <c r="C81" s="0" t="inlineStr">
        <is>
          <t>Adibras - Transitória de ativos</t>
        </is>
      </c>
      <c r="D81" s="0" t="n">
        <v>90.44</v>
      </c>
      <c r="E81" s="0" t="n"/>
      <c r="F81" s="0" t="inlineStr">
        <is>
          <t>Iptu Divida Ativa 2020 (194) 37/0048</t>
        </is>
      </c>
      <c r="G81" s="0" t="inlineStr">
        <is>
          <t>BALLETARRJ ESCOLA DE DANCA LTD</t>
        </is>
      </c>
      <c r="H81" s="0" t="inlineStr">
        <is>
          <t>Rua São Francisco Xavier N. 194 Sobrado E 196 Sobrado (132 3/5)</t>
        </is>
      </c>
      <c r="I81" s="0" t="inlineStr">
        <is>
          <t>Dívida Ativa</t>
        </is>
      </c>
    </row>
    <row r="82">
      <c r="A82" s="0" t="n">
        <v>122</v>
      </c>
      <c r="B82" s="0" t="inlineStr">
        <is>
          <t>06/05/2025</t>
        </is>
      </c>
      <c r="C82" s="0" t="inlineStr">
        <is>
          <t>Adibras - Transitória de ativos</t>
        </is>
      </c>
      <c r="D82" s="0" t="n">
        <v>302.52</v>
      </c>
      <c r="E82" s="0" t="n"/>
      <c r="F82" s="0" t="inlineStr">
        <is>
          <t>Iptu Divida Ativa 2020 (196) 37/0048</t>
        </is>
      </c>
      <c r="G82" s="0" t="inlineStr">
        <is>
          <t>BALLETARRJ ESCOLA DE DANCA LTD</t>
        </is>
      </c>
      <c r="H82" s="0" t="inlineStr">
        <is>
          <t>Rua São Francisco Xavier N. 194 Sobrado E 196 Sobrado (132 3/5)</t>
        </is>
      </c>
      <c r="I82" s="0" t="inlineStr">
        <is>
          <t>Dívida Ativa</t>
        </is>
      </c>
    </row>
    <row r="83">
      <c r="A83" s="0" t="n">
        <v>122</v>
      </c>
      <c r="B83" s="0" t="inlineStr">
        <is>
          <t>06/05/2025</t>
        </is>
      </c>
      <c r="C83" s="0" t="inlineStr">
        <is>
          <t>Adibras - Transitória de ativos</t>
        </is>
      </c>
      <c r="D83" s="0" t="n"/>
      <c r="E83" s="0" t="n">
        <v>71.19</v>
      </c>
      <c r="F83" s="0" t="inlineStr">
        <is>
          <t>Seguro C/Fogo  01/0004</t>
        </is>
      </c>
      <c r="G83" s="0" t="inlineStr">
        <is>
          <t>MICHEL FALCAO ROSA E/OU</t>
        </is>
      </c>
      <c r="H83" s="0" t="inlineStr">
        <is>
          <t>Rua Da Alfândega N. 97 / Loja (187 1/2)</t>
        </is>
      </c>
      <c r="I83" s="0" t="inlineStr">
        <is>
          <t>Seguro</t>
        </is>
      </c>
    </row>
    <row r="84">
      <c r="A84" s="0" t="n">
        <v>123</v>
      </c>
      <c r="B84" s="0" t="inlineStr">
        <is>
          <t>07/05/2025</t>
        </is>
      </c>
      <c r="C84" s="0" t="inlineStr">
        <is>
          <t>Outros Passivos:Adibras - Transitória de passivos</t>
        </is>
      </c>
      <c r="D84" s="0" t="n"/>
      <c r="E84" s="0" t="n">
        <v>180.67</v>
      </c>
      <c r="F84" s="0" t="inlineStr">
        <is>
          <t>Condominio Ref.35% de 55% 12/2024</t>
        </is>
      </c>
      <c r="G84" s="0" t="inlineStr">
        <is>
          <t>CHCC RESTAURANTE LTDA</t>
        </is>
      </c>
      <c r="H84" s="0" t="inlineStr">
        <is>
          <t>Av. Princesa Isabel N. 300 / Loja B Do Bloco A (128 1/1)</t>
        </is>
      </c>
      <c r="I84" s="0" t="inlineStr">
        <is>
          <t>Condomínio</t>
        </is>
      </c>
    </row>
    <row r="85">
      <c r="A85" s="0" t="n">
        <v>123</v>
      </c>
      <c r="B85" s="0" t="inlineStr">
        <is>
          <t>07/05/2025</t>
        </is>
      </c>
      <c r="C85" s="0" t="inlineStr">
        <is>
          <t>Outros Passivos:Adibras - Transitória de passivos</t>
        </is>
      </c>
      <c r="D85" s="0" t="n"/>
      <c r="E85" s="0" t="n">
        <v>35</v>
      </c>
      <c r="F85" s="0" t="inlineStr">
        <is>
          <t>13 salario Ref.2024 04/0005</t>
        </is>
      </c>
      <c r="G85" s="0" t="inlineStr">
        <is>
          <t>CHCC RESTAURANTE LTDA</t>
        </is>
      </c>
      <c r="H85" s="0" t="inlineStr">
        <is>
          <t>Av. Princesa Isabel N. 300 / Loja B Do Bloco A (128 1/1)</t>
        </is>
      </c>
      <c r="I85" s="0" t="inlineStr">
        <is>
          <t>Condomínio</t>
        </is>
      </c>
    </row>
    <row r="86">
      <c r="A86" s="0" t="n">
        <v>123</v>
      </c>
      <c r="B86" s="0" t="inlineStr">
        <is>
          <t>07/05/2025</t>
        </is>
      </c>
      <c r="C86" s="0" t="inlineStr">
        <is>
          <t>Outros Passivos:Adibras - Transitória de passivos</t>
        </is>
      </c>
      <c r="D86" s="0" t="n"/>
      <c r="E86" s="0" t="n">
        <v>61.2</v>
      </c>
      <c r="F86" s="0" t="inlineStr">
        <is>
          <t>Seguro C/Fogo Ref.204/2025 04/0006</t>
        </is>
      </c>
      <c r="G86" s="0" t="n"/>
      <c r="H86" s="0" t="inlineStr">
        <is>
          <t>PCA SAENS PENA,67 LJA/SOB/PTE.LOJA</t>
        </is>
      </c>
      <c r="I86" s="0" t="inlineStr">
        <is>
          <t>Seguro</t>
        </is>
      </c>
    </row>
    <row r="87">
      <c r="A87" s="0" t="n">
        <v>123</v>
      </c>
      <c r="B87" s="0" t="inlineStr">
        <is>
          <t>07/05/2025</t>
        </is>
      </c>
      <c r="C87" s="0" t="inlineStr">
        <is>
          <t>Outros Passivos:Adibras - Transitória de passivos</t>
        </is>
      </c>
      <c r="D87" s="0" t="n"/>
      <c r="E87" s="0" t="n">
        <v>232.95</v>
      </c>
      <c r="F87" s="0" t="inlineStr">
        <is>
          <t>Agua e Esgoto  10/2024</t>
        </is>
      </c>
      <c r="G87" s="0" t="n"/>
      <c r="H87" s="0" t="inlineStr">
        <is>
          <t>PCA SAENS PENA,67 LJA/SOB/PTE.LOJA</t>
        </is>
      </c>
      <c r="I87" s="0" t="inlineStr">
        <is>
          <t>Água e Esgoto</t>
        </is>
      </c>
    </row>
    <row r="88">
      <c r="A88" s="0" t="n">
        <v>123</v>
      </c>
      <c r="B88" s="0" t="inlineStr">
        <is>
          <t>07/05/2025</t>
        </is>
      </c>
      <c r="C88" s="0" t="inlineStr">
        <is>
          <t>Outros Passivos:Adibras - Transitória de passivos</t>
        </is>
      </c>
      <c r="D88" s="0" t="n">
        <v>660</v>
      </c>
      <c r="E88" s="0" t="n"/>
      <c r="F88" s="0" t="inlineStr">
        <is>
          <t>Condominio Ref. loja 01/2025</t>
        </is>
      </c>
      <c r="G88" s="0" t="inlineStr">
        <is>
          <t>RESTAURANTE DUROSÁRIO LTDA</t>
        </is>
      </c>
      <c r="H88" s="0" t="inlineStr">
        <is>
          <t>Rua Do Rosário N. 112 / Loja E Sobreloja (178 1.2/9)</t>
        </is>
      </c>
      <c r="I88" s="0" t="inlineStr">
        <is>
          <t>Condomínio</t>
        </is>
      </c>
    </row>
    <row r="89">
      <c r="A89" s="0" t="n">
        <v>123</v>
      </c>
      <c r="B89" s="0" t="inlineStr">
        <is>
          <t>07/05/2025</t>
        </is>
      </c>
      <c r="C89" s="0" t="inlineStr">
        <is>
          <t>Outros Passivos:Adibras - Transitória de passivos</t>
        </is>
      </c>
      <c r="D89" s="0" t="n">
        <v>660</v>
      </c>
      <c r="E89" s="0" t="n"/>
      <c r="F89" s="0" t="inlineStr">
        <is>
          <t>Condominio S/Loja 01/2025</t>
        </is>
      </c>
      <c r="G89" s="0" t="inlineStr">
        <is>
          <t>RESTAURANTE DUROSÁRIO LTDA</t>
        </is>
      </c>
      <c r="H89" s="0" t="inlineStr">
        <is>
          <t>Rua Do Rosário N. 112 / Loja E Sobreloja (178 1.2/9)</t>
        </is>
      </c>
      <c r="I89" s="0" t="inlineStr">
        <is>
          <t>Condomínio</t>
        </is>
      </c>
    </row>
    <row r="90">
      <c r="A90" s="0" t="n">
        <v>123</v>
      </c>
      <c r="B90" s="0" t="inlineStr">
        <is>
          <t>07/05/2025</t>
        </is>
      </c>
      <c r="C90" s="0" t="inlineStr">
        <is>
          <t>Outros Passivos:Adibras - Transitória de passivos</t>
        </is>
      </c>
      <c r="D90" s="0" t="n">
        <v>692.33</v>
      </c>
      <c r="E90" s="0" t="n"/>
      <c r="F90" s="0" t="inlineStr">
        <is>
          <t>Agua e Esgoto  12/2024</t>
        </is>
      </c>
      <c r="G90" s="0" t="inlineStr">
        <is>
          <t>RESTAURANTE DUROSÁRIO LTDA</t>
        </is>
      </c>
      <c r="H90" s="0" t="inlineStr">
        <is>
          <t>Rua Do Rosário N. 112 / Loja E Sobreloja (178 1.2/9)</t>
        </is>
      </c>
      <c r="I90" s="0" t="inlineStr">
        <is>
          <t>Água e Esgoto</t>
        </is>
      </c>
    </row>
    <row r="91">
      <c r="A91" s="0" t="n">
        <v>123</v>
      </c>
      <c r="B91" s="0" t="inlineStr">
        <is>
          <t>07/05/2025</t>
        </is>
      </c>
      <c r="C91" s="0" t="inlineStr">
        <is>
          <t>Outros Passivos:Adibras - Transitória de passivos</t>
        </is>
      </c>
      <c r="D91" s="0" t="n">
        <v>660</v>
      </c>
      <c r="E91" s="0" t="n"/>
      <c r="F91" s="0" t="inlineStr">
        <is>
          <t>Condominio  01/2025</t>
        </is>
      </c>
      <c r="G91" s="0" t="inlineStr">
        <is>
          <t>IGNACIO FRANCISCO J P.BALLIVIA</t>
        </is>
      </c>
      <c r="H91" s="0" t="inlineStr">
        <is>
          <t>Rua Do Rosário N. 112 / 2º Andar (178 3/9)</t>
        </is>
      </c>
      <c r="I91" s="0" t="inlineStr">
        <is>
          <t>Condomínio</t>
        </is>
      </c>
    </row>
    <row r="92">
      <c r="A92" s="0" t="n">
        <v>123</v>
      </c>
      <c r="B92" s="0" t="inlineStr">
        <is>
          <t>07/05/2025</t>
        </is>
      </c>
      <c r="C92" s="0" t="inlineStr">
        <is>
          <t>Outros Passivos:Adibras - Transitória de passivos</t>
        </is>
      </c>
      <c r="D92" s="0" t="n">
        <v>660</v>
      </c>
      <c r="E92" s="0" t="n"/>
      <c r="F92" s="0" t="inlineStr">
        <is>
          <t>Condominio  01/2025</t>
        </is>
      </c>
      <c r="G92" s="0" t="inlineStr">
        <is>
          <t>LUIZ EDUARDO NOGUEIRA SORAGGI</t>
        </is>
      </c>
      <c r="H92" s="0" t="inlineStr">
        <is>
          <t>Rua Do Rosário N. 112 / 3º Andar (178 4/9)</t>
        </is>
      </c>
      <c r="I92" s="0" t="inlineStr">
        <is>
          <t>Condomínio</t>
        </is>
      </c>
    </row>
    <row r="93">
      <c r="A93" s="0" t="n">
        <v>123</v>
      </c>
      <c r="B93" s="0" t="inlineStr">
        <is>
          <t>07/05/2025</t>
        </is>
      </c>
      <c r="C93" s="0" t="inlineStr">
        <is>
          <t>Outros Passivos:Adibras - Transitória de passivos</t>
        </is>
      </c>
      <c r="D93" s="0" t="n">
        <v>660</v>
      </c>
      <c r="E93" s="0" t="n"/>
      <c r="F93" s="0" t="inlineStr">
        <is>
          <t>Condominio  01/2025</t>
        </is>
      </c>
      <c r="G93" s="0" t="inlineStr">
        <is>
          <t>INTEGRADA GESTÃO DE NEGÓCIOS L</t>
        </is>
      </c>
      <c r="H93" s="0" t="inlineStr">
        <is>
          <t>Rua Do Rosário N. 112 / 8º Andar Corresp Ao 9º  /  Sala 801 Parte (178 9.2/9)</t>
        </is>
      </c>
      <c r="I93" s="0" t="inlineStr">
        <is>
          <t>Condomínio</t>
        </is>
      </c>
    </row>
    <row r="94">
      <c r="A94" s="0" t="n">
        <v>123</v>
      </c>
      <c r="B94" s="0" t="inlineStr">
        <is>
          <t>07/05/2025</t>
        </is>
      </c>
      <c r="C94" s="0" t="inlineStr">
        <is>
          <t>Adibras - Transitória de ativos</t>
        </is>
      </c>
      <c r="D94" s="0" t="n">
        <v>180.67</v>
      </c>
      <c r="E94" s="0" t="n"/>
      <c r="F94" s="0" t="inlineStr">
        <is>
          <t>Condominio Ref.35% de 55% 12/2024</t>
        </is>
      </c>
      <c r="G94" s="0" t="inlineStr">
        <is>
          <t>CHCC RESTAURANTE LTDA</t>
        </is>
      </c>
      <c r="H94" s="0" t="inlineStr">
        <is>
          <t>Av. Princesa Isabel N. 300 / Loja B Do Bloco A (128 1/1)</t>
        </is>
      </c>
      <c r="I94" s="0" t="inlineStr">
        <is>
          <t>Condomínio</t>
        </is>
      </c>
    </row>
    <row r="95">
      <c r="A95" s="0" t="n">
        <v>123</v>
      </c>
      <c r="B95" s="0" t="inlineStr">
        <is>
          <t>07/05/2025</t>
        </is>
      </c>
      <c r="C95" s="0" t="inlineStr">
        <is>
          <t>Adibras - Transitória de ativos</t>
        </is>
      </c>
      <c r="D95" s="0" t="n">
        <v>35</v>
      </c>
      <c r="E95" s="0" t="n"/>
      <c r="F95" s="0" t="inlineStr">
        <is>
          <t>13 salario Ref.2024 04/0005</t>
        </is>
      </c>
      <c r="G95" s="0" t="inlineStr">
        <is>
          <t>CHCC RESTAURANTE LTDA</t>
        </is>
      </c>
      <c r="H95" s="0" t="inlineStr">
        <is>
          <t>Av. Princesa Isabel N. 300 / Loja B Do Bloco A (128 1/1)</t>
        </is>
      </c>
      <c r="I95" s="0" t="inlineStr">
        <is>
          <t>Condomínio</t>
        </is>
      </c>
    </row>
    <row r="96">
      <c r="A96" s="0" t="n">
        <v>123</v>
      </c>
      <c r="B96" s="0" t="inlineStr">
        <is>
          <t>07/05/2025</t>
        </is>
      </c>
      <c r="C96" s="0" t="inlineStr">
        <is>
          <t>Adibras - Transitória de ativos</t>
        </is>
      </c>
      <c r="D96" s="0" t="n">
        <v>61.2</v>
      </c>
      <c r="E96" s="0" t="n"/>
      <c r="F96" s="0" t="inlineStr">
        <is>
          <t>Seguro C/Fogo Ref.204/2025 04/0006</t>
        </is>
      </c>
      <c r="G96" s="0" t="n"/>
      <c r="H96" s="0" t="inlineStr">
        <is>
          <t>PCA SAENS PENA,67 LJA/SOB/PTE.LOJA</t>
        </is>
      </c>
      <c r="I96" s="0" t="inlineStr">
        <is>
          <t>Seguro</t>
        </is>
      </c>
    </row>
    <row r="97">
      <c r="A97" s="0" t="n">
        <v>123</v>
      </c>
      <c r="B97" s="0" t="inlineStr">
        <is>
          <t>07/05/2025</t>
        </is>
      </c>
      <c r="C97" s="0" t="inlineStr">
        <is>
          <t>Adibras - Transitória de ativos</t>
        </is>
      </c>
      <c r="D97" s="0" t="n">
        <v>232.95</v>
      </c>
      <c r="E97" s="0" t="n"/>
      <c r="F97" s="0" t="inlineStr">
        <is>
          <t>Agua e Esgoto  10/2024</t>
        </is>
      </c>
      <c r="G97" s="0" t="n"/>
      <c r="H97" s="0" t="inlineStr">
        <is>
          <t>PCA SAENS PENA,67 LJA/SOB/PTE.LOJA</t>
        </is>
      </c>
      <c r="I97" s="0" t="inlineStr">
        <is>
          <t>Água e Esgoto</t>
        </is>
      </c>
    </row>
    <row r="98">
      <c r="A98" s="0" t="n">
        <v>123</v>
      </c>
      <c r="B98" s="0" t="inlineStr">
        <is>
          <t>07/05/2025</t>
        </is>
      </c>
      <c r="C98" s="0" t="inlineStr">
        <is>
          <t>Adibras - Transitória de ativos</t>
        </is>
      </c>
      <c r="D98" s="0" t="n"/>
      <c r="E98" s="0" t="n">
        <v>660</v>
      </c>
      <c r="F98" s="0" t="inlineStr">
        <is>
          <t>Condominio Ref. loja 01/2025</t>
        </is>
      </c>
      <c r="G98" s="0" t="inlineStr">
        <is>
          <t>RESTAURANTE DUROSÁRIO LTDA</t>
        </is>
      </c>
      <c r="H98" s="0" t="inlineStr">
        <is>
          <t>Rua Do Rosário N. 112 / Loja E Sobreloja (178 1.2/9)</t>
        </is>
      </c>
      <c r="I98" s="0" t="inlineStr">
        <is>
          <t>Condomínio</t>
        </is>
      </c>
    </row>
    <row r="99">
      <c r="A99" s="0" t="n">
        <v>123</v>
      </c>
      <c r="B99" s="0" t="inlineStr">
        <is>
          <t>07/05/2025</t>
        </is>
      </c>
      <c r="C99" s="0" t="inlineStr">
        <is>
          <t>Adibras - Transitória de ativos</t>
        </is>
      </c>
      <c r="D99" s="0" t="n"/>
      <c r="E99" s="0" t="n">
        <v>660</v>
      </c>
      <c r="F99" s="0" t="inlineStr">
        <is>
          <t>Condominio S/Loja 01/2025</t>
        </is>
      </c>
      <c r="G99" s="0" t="inlineStr">
        <is>
          <t>RESTAURANTE DUROSÁRIO LTDA</t>
        </is>
      </c>
      <c r="H99" s="0" t="inlineStr">
        <is>
          <t>Rua Do Rosário N. 112 / Loja E Sobreloja (178 1.2/9)</t>
        </is>
      </c>
      <c r="I99" s="0" t="inlineStr">
        <is>
          <t>Condomínio</t>
        </is>
      </c>
    </row>
    <row r="100">
      <c r="A100" s="0" t="n">
        <v>123</v>
      </c>
      <c r="B100" s="0" t="inlineStr">
        <is>
          <t>07/05/2025</t>
        </is>
      </c>
      <c r="C100" s="0" t="inlineStr">
        <is>
          <t>Adibras - Transitória de ativos</t>
        </is>
      </c>
      <c r="D100" s="0" t="n"/>
      <c r="E100" s="0" t="n">
        <v>692.33</v>
      </c>
      <c r="F100" s="0" t="inlineStr">
        <is>
          <t>Agua e Esgoto  12/2024</t>
        </is>
      </c>
      <c r="G100" s="0" t="inlineStr">
        <is>
          <t>RESTAURANTE DUROSÁRIO LTDA</t>
        </is>
      </c>
      <c r="H100" s="0" t="inlineStr">
        <is>
          <t>Rua Do Rosário N. 112 / Loja E Sobreloja (178 1.2/9)</t>
        </is>
      </c>
      <c r="I100" s="0" t="inlineStr">
        <is>
          <t>Água e Esgoto</t>
        </is>
      </c>
    </row>
    <row r="101">
      <c r="A101" s="0" t="n">
        <v>123</v>
      </c>
      <c r="B101" s="0" t="inlineStr">
        <is>
          <t>07/05/2025</t>
        </is>
      </c>
      <c r="C101" s="0" t="inlineStr">
        <is>
          <t>Adibras - Transitória de ativos</t>
        </is>
      </c>
      <c r="D101" s="0" t="n"/>
      <c r="E101" s="0" t="n">
        <v>660</v>
      </c>
      <c r="F101" s="0" t="inlineStr">
        <is>
          <t>Condominio  01/2025</t>
        </is>
      </c>
      <c r="G101" s="0" t="inlineStr">
        <is>
          <t>IGNACIO FRANCISCO J P.BALLIVIA</t>
        </is>
      </c>
      <c r="H101" s="0" t="inlineStr">
        <is>
          <t>Rua Do Rosário N. 112 / 2º Andar (178 3/9)</t>
        </is>
      </c>
      <c r="I101" s="0" t="inlineStr">
        <is>
          <t>Condomínio</t>
        </is>
      </c>
    </row>
    <row r="102">
      <c r="A102" s="0" t="n">
        <v>123</v>
      </c>
      <c r="B102" s="0" t="inlineStr">
        <is>
          <t>07/05/2025</t>
        </is>
      </c>
      <c r="C102" s="0" t="inlineStr">
        <is>
          <t>Adibras - Transitória de ativos</t>
        </is>
      </c>
      <c r="D102" s="0" t="n"/>
      <c r="E102" s="0" t="n">
        <v>660</v>
      </c>
      <c r="F102" s="0" t="inlineStr">
        <is>
          <t>Condominio  01/2025</t>
        </is>
      </c>
      <c r="G102" s="0" t="inlineStr">
        <is>
          <t>LUIZ EDUARDO NOGUEIRA SORAGGI</t>
        </is>
      </c>
      <c r="H102" s="0" t="inlineStr">
        <is>
          <t>Rua Do Rosário N. 112 / 3º Andar (178 4/9)</t>
        </is>
      </c>
      <c r="I102" s="0" t="inlineStr">
        <is>
          <t>Condomínio</t>
        </is>
      </c>
    </row>
    <row r="103">
      <c r="A103" s="0" t="n">
        <v>123</v>
      </c>
      <c r="B103" s="0" t="inlineStr">
        <is>
          <t>07/05/2025</t>
        </is>
      </c>
      <c r="C103" s="0" t="inlineStr">
        <is>
          <t>Adibras - Transitória de ativos</t>
        </is>
      </c>
      <c r="D103" s="0" t="n"/>
      <c r="E103" s="0" t="n">
        <v>660</v>
      </c>
      <c r="F103" s="0" t="inlineStr">
        <is>
          <t>Condominio  01/2025</t>
        </is>
      </c>
      <c r="G103" s="0" t="inlineStr">
        <is>
          <t>INTEGRADA GESTÃO DE NEGÓCIOS L</t>
        </is>
      </c>
      <c r="H103" s="0" t="inlineStr">
        <is>
          <t>Rua Do Rosário N. 112 / 8º Andar Corresp Ao 9º  /  Sala 801 Parte (178 9.2/9)</t>
        </is>
      </c>
      <c r="I103" s="0" t="inlineStr">
        <is>
          <t>Condomínio</t>
        </is>
      </c>
    </row>
    <row r="104">
      <c r="A104" s="0" t="n">
        <v>124</v>
      </c>
      <c r="B104" s="0" t="inlineStr">
        <is>
          <t>09/05/2025</t>
        </is>
      </c>
      <c r="C104" s="0" t="inlineStr">
        <is>
          <t>Outros Passivos:Adibras - Transitória de passivos</t>
        </is>
      </c>
      <c r="D104" s="0" t="n">
        <v>225</v>
      </c>
      <c r="E104" s="0" t="n"/>
      <c r="F104" s="0" t="inlineStr">
        <is>
          <t>Condominio  01/2025</t>
        </is>
      </c>
      <c r="G104" s="0" t="inlineStr">
        <is>
          <t>JR BAZAR E MATERIAIS DE CONTRU</t>
        </is>
      </c>
      <c r="H104" s="0" t="inlineStr">
        <is>
          <t>R DAS MARRECAS,29 LOJA  A</t>
        </is>
      </c>
      <c r="I104" s="0" t="inlineStr">
        <is>
          <t>Condomínio</t>
        </is>
      </c>
    </row>
    <row r="105">
      <c r="A105" s="0" t="n">
        <v>124</v>
      </c>
      <c r="B105" s="0" t="inlineStr">
        <is>
          <t>09/05/2025</t>
        </is>
      </c>
      <c r="C105" s="0" t="inlineStr">
        <is>
          <t>Outros Passivos:Adibras - Transitória de passivos</t>
        </is>
      </c>
      <c r="D105" s="0" t="n">
        <v>46.89</v>
      </c>
      <c r="E105" s="0" t="n"/>
      <c r="F105" s="0" t="inlineStr">
        <is>
          <t>Condominio  01/2025</t>
        </is>
      </c>
      <c r="G105" s="0" t="inlineStr">
        <is>
          <t>BAR E RESTAURANTE MONTE GORDO</t>
        </is>
      </c>
      <c r="H105" s="0" t="inlineStr">
        <is>
          <t>Rua Senador Dantas N. 44 / Loja A (177 1/1)</t>
        </is>
      </c>
      <c r="I105" s="0" t="inlineStr">
        <is>
          <t>Condomínio</t>
        </is>
      </c>
    </row>
    <row r="106">
      <c r="A106" s="0" t="n">
        <v>124</v>
      </c>
      <c r="B106" s="0" t="inlineStr">
        <is>
          <t>09/05/2025</t>
        </is>
      </c>
      <c r="C106" s="0" t="inlineStr">
        <is>
          <t>Outros Passivos:Adibras - Transitória de passivos</t>
        </is>
      </c>
      <c r="D106" s="0" t="n">
        <v>22.5</v>
      </c>
      <c r="E106" s="0" t="n"/>
      <c r="F106" s="0" t="inlineStr">
        <is>
          <t>Condominio  01/2025</t>
        </is>
      </c>
      <c r="G106" s="0" t="inlineStr">
        <is>
          <t>ELIANE FURTADO CATUNDA</t>
        </is>
      </c>
      <c r="H106" s="0" t="inlineStr">
        <is>
          <t>Rua Senador Dantas N. 117 / Loja Q (126 1/1)</t>
        </is>
      </c>
      <c r="I106" s="0" t="inlineStr">
        <is>
          <t>Condomínio</t>
        </is>
      </c>
    </row>
    <row r="107">
      <c r="A107" s="0" t="n">
        <v>124</v>
      </c>
      <c r="B107" s="0" t="inlineStr">
        <is>
          <t>09/05/2025</t>
        </is>
      </c>
      <c r="C107" s="0" t="inlineStr">
        <is>
          <t>Outros Passivos:Adibras - Transitória de passivos</t>
        </is>
      </c>
      <c r="D107" s="0" t="n">
        <v>364.91</v>
      </c>
      <c r="E107" s="0" t="n"/>
      <c r="F107" s="0" t="inlineStr">
        <is>
          <t>Condominio  01/2025</t>
        </is>
      </c>
      <c r="G107" s="0" t="inlineStr">
        <is>
          <t>ERICK RIBEIRO DA SILVA</t>
        </is>
      </c>
      <c r="H107" s="0" t="inlineStr">
        <is>
          <t>R SANTOS TITARA,159/101 FTE</t>
        </is>
      </c>
      <c r="I107" s="0" t="inlineStr">
        <is>
          <t>Condomínio</t>
        </is>
      </c>
    </row>
    <row r="108">
      <c r="A108" s="0" t="n">
        <v>124</v>
      </c>
      <c r="B108" s="0" t="inlineStr">
        <is>
          <t>09/05/2025</t>
        </is>
      </c>
      <c r="C108" s="0" t="inlineStr">
        <is>
          <t>Outros Passivos:Adibras - Transitória de passivos</t>
        </is>
      </c>
      <c r="D108" s="0" t="n">
        <v>128.4</v>
      </c>
      <c r="E108" s="0" t="n"/>
      <c r="F108" s="0" t="inlineStr">
        <is>
          <t>Condominio  01/2025</t>
        </is>
      </c>
      <c r="G108" s="0" t="inlineStr">
        <is>
          <t>BAR E LANCHONETE PH LTDA</t>
        </is>
      </c>
      <c r="H108" s="0" t="inlineStr">
        <is>
          <t>Rua Dos Inválidos N. 138  /  Loja I Do  Bloco I (152 1/2)</t>
        </is>
      </c>
      <c r="I108" s="0" t="inlineStr">
        <is>
          <t>Condomínio</t>
        </is>
      </c>
    </row>
    <row r="109">
      <c r="A109" s="0" t="n">
        <v>124</v>
      </c>
      <c r="B109" s="0" t="inlineStr">
        <is>
          <t>09/05/2025</t>
        </is>
      </c>
      <c r="C109" s="0" t="inlineStr">
        <is>
          <t>Outros Passivos:Adibras - Transitória de passivos</t>
        </is>
      </c>
      <c r="D109" s="0" t="n">
        <v>119.13</v>
      </c>
      <c r="E109" s="0" t="n"/>
      <c r="F109" s="0" t="inlineStr">
        <is>
          <t>Condominio  01/2025</t>
        </is>
      </c>
      <c r="G109" s="0" t="inlineStr">
        <is>
          <t>RAPHAEL SILVA PORTELLA CABRAL</t>
        </is>
      </c>
      <c r="H109" s="0" t="inlineStr">
        <is>
          <t>R DOS INVALIDOS,138 GARAGEM</t>
        </is>
      </c>
      <c r="I109" s="0" t="inlineStr">
        <is>
          <t>Condomínio</t>
        </is>
      </c>
    </row>
    <row r="110">
      <c r="A110" s="0" t="n">
        <v>124</v>
      </c>
      <c r="B110" s="0" t="inlineStr">
        <is>
          <t>09/05/2025</t>
        </is>
      </c>
      <c r="C110" s="0" t="inlineStr">
        <is>
          <t>Outros Passivos:Adibras - Transitória de passivos</t>
        </is>
      </c>
      <c r="D110" s="0" t="n">
        <v>134.67</v>
      </c>
      <c r="E110" s="0" t="n"/>
      <c r="F110" s="0" t="inlineStr">
        <is>
          <t>Seguro Fianca  11/0011</t>
        </is>
      </c>
      <c r="G110" s="0" t="inlineStr">
        <is>
          <t>FORNEC.RIO TROPICAL BRASIL DE</t>
        </is>
      </c>
      <c r="H110" s="0" t="inlineStr">
        <is>
          <t>Rua Capitão Felix N. 110 / Loja 18 Rua 11 Blc P Pav 02 (138 1/1)</t>
        </is>
      </c>
      <c r="I110" s="0" t="inlineStr">
        <is>
          <t>Seguro</t>
        </is>
      </c>
    </row>
    <row r="111">
      <c r="A111" s="0" t="n">
        <v>124</v>
      </c>
      <c r="B111" s="0" t="inlineStr">
        <is>
          <t>09/05/2025</t>
        </is>
      </c>
      <c r="C111" s="0" t="inlineStr">
        <is>
          <t>Outros Passivos:Adibras - Transitória de passivos</t>
        </is>
      </c>
      <c r="D111" s="0" t="n">
        <v>258.6</v>
      </c>
      <c r="E111" s="0" t="n"/>
      <c r="F111" s="0" t="inlineStr">
        <is>
          <t>Seguro Fianca  05/0060</t>
        </is>
      </c>
      <c r="G111" s="0" t="n"/>
      <c r="H111" s="0" t="inlineStr">
        <is>
          <t>Rua Sacadura Cabral N. 149 - Prédio (195 1/1)</t>
        </is>
      </c>
      <c r="I111" s="0" t="inlineStr">
        <is>
          <t>Seguro</t>
        </is>
      </c>
    </row>
    <row r="112">
      <c r="A112" s="0" t="n">
        <v>124</v>
      </c>
      <c r="B112" s="0" t="inlineStr">
        <is>
          <t>09/05/2025</t>
        </is>
      </c>
      <c r="C112" s="0" t="inlineStr">
        <is>
          <t>Adibras - Transitória de ativos</t>
        </is>
      </c>
      <c r="D112" s="0" t="n"/>
      <c r="E112" s="0" t="n">
        <v>225</v>
      </c>
      <c r="F112" s="0" t="inlineStr">
        <is>
          <t>Condominio  01/2025</t>
        </is>
      </c>
      <c r="G112" s="0" t="inlineStr">
        <is>
          <t>JR BAZAR E MATERIAIS DE CONTRU</t>
        </is>
      </c>
      <c r="H112" s="0" t="inlineStr">
        <is>
          <t>R DAS MARRECAS,29 LOJA  A</t>
        </is>
      </c>
      <c r="I112" s="0" t="inlineStr">
        <is>
          <t>Condomínio</t>
        </is>
      </c>
    </row>
    <row r="113">
      <c r="A113" s="0" t="n">
        <v>124</v>
      </c>
      <c r="B113" s="0" t="inlineStr">
        <is>
          <t>09/05/2025</t>
        </is>
      </c>
      <c r="C113" s="0" t="inlineStr">
        <is>
          <t>Adibras - Transitória de ativos</t>
        </is>
      </c>
      <c r="D113" s="0" t="n"/>
      <c r="E113" s="0" t="n">
        <v>46.89</v>
      </c>
      <c r="F113" s="0" t="inlineStr">
        <is>
          <t>Condominio  01/2025</t>
        </is>
      </c>
      <c r="G113" s="0" t="inlineStr">
        <is>
          <t>BAR E RESTAURANTE MONTE GORDO</t>
        </is>
      </c>
      <c r="H113" s="0" t="inlineStr">
        <is>
          <t>Rua Senador Dantas N. 44 / Loja A (177 1/1)</t>
        </is>
      </c>
      <c r="I113" s="0" t="inlineStr">
        <is>
          <t>Condomínio</t>
        </is>
      </c>
    </row>
    <row r="114">
      <c r="A114" s="0" t="n">
        <v>124</v>
      </c>
      <c r="B114" s="0" t="inlineStr">
        <is>
          <t>09/05/2025</t>
        </is>
      </c>
      <c r="C114" s="0" t="inlineStr">
        <is>
          <t>Adibras - Transitória de ativos</t>
        </is>
      </c>
      <c r="D114" s="0" t="n"/>
      <c r="E114" s="0" t="n">
        <v>22.5</v>
      </c>
      <c r="F114" s="0" t="inlineStr">
        <is>
          <t>Condominio  01/2025</t>
        </is>
      </c>
      <c r="G114" s="0" t="inlineStr">
        <is>
          <t>ELIANE FURTADO CATUNDA</t>
        </is>
      </c>
      <c r="H114" s="0" t="inlineStr">
        <is>
          <t>Rua Senador Dantas N. 117 / Loja Q (126 1/1)</t>
        </is>
      </c>
      <c r="I114" s="0" t="inlineStr">
        <is>
          <t>Condomínio</t>
        </is>
      </c>
    </row>
    <row r="115">
      <c r="A115" s="0" t="n">
        <v>124</v>
      </c>
      <c r="B115" s="0" t="inlineStr">
        <is>
          <t>09/05/2025</t>
        </is>
      </c>
      <c r="C115" s="0" t="inlineStr">
        <is>
          <t>Adibras - Transitória de ativos</t>
        </is>
      </c>
      <c r="D115" s="0" t="n"/>
      <c r="E115" s="0" t="n">
        <v>364.91</v>
      </c>
      <c r="F115" s="0" t="inlineStr">
        <is>
          <t>Condominio  01/2025</t>
        </is>
      </c>
      <c r="G115" s="0" t="inlineStr">
        <is>
          <t>ERICK RIBEIRO DA SILVA</t>
        </is>
      </c>
      <c r="H115" s="0" t="inlineStr">
        <is>
          <t>R SANTOS TITARA,159/101 FTE</t>
        </is>
      </c>
      <c r="I115" s="0" t="inlineStr">
        <is>
          <t>Condomínio</t>
        </is>
      </c>
    </row>
    <row r="116">
      <c r="A116" s="0" t="n">
        <v>124</v>
      </c>
      <c r="B116" s="0" t="inlineStr">
        <is>
          <t>09/05/2025</t>
        </is>
      </c>
      <c r="C116" s="0" t="inlineStr">
        <is>
          <t>Adibras - Transitória de ativos</t>
        </is>
      </c>
      <c r="D116" s="0" t="n"/>
      <c r="E116" s="0" t="n">
        <v>128.4</v>
      </c>
      <c r="F116" s="0" t="inlineStr">
        <is>
          <t>Condominio  01/2025</t>
        </is>
      </c>
      <c r="G116" s="0" t="inlineStr">
        <is>
          <t>BAR E LANCHONETE PH LTDA</t>
        </is>
      </c>
      <c r="H116" s="0" t="inlineStr">
        <is>
          <t>Rua Dos Inválidos N. 138  /  Loja I Do  Bloco I (152 1/2)</t>
        </is>
      </c>
      <c r="I116" s="0" t="inlineStr">
        <is>
          <t>Condomínio</t>
        </is>
      </c>
    </row>
    <row r="117">
      <c r="A117" s="0" t="n">
        <v>124</v>
      </c>
      <c r="B117" s="0" t="inlineStr">
        <is>
          <t>09/05/2025</t>
        </is>
      </c>
      <c r="C117" s="0" t="inlineStr">
        <is>
          <t>Adibras - Transitória de ativos</t>
        </is>
      </c>
      <c r="D117" s="0" t="n"/>
      <c r="E117" s="0" t="n">
        <v>119.13</v>
      </c>
      <c r="F117" s="0" t="inlineStr">
        <is>
          <t>Condominio  01/2025</t>
        </is>
      </c>
      <c r="G117" s="0" t="inlineStr">
        <is>
          <t>RAPHAEL SILVA PORTELLA CABRAL</t>
        </is>
      </c>
      <c r="H117" s="0" t="inlineStr">
        <is>
          <t>R DOS INVALIDOS,138 GARAGEM</t>
        </is>
      </c>
      <c r="I117" s="0" t="inlineStr">
        <is>
          <t>Condomínio</t>
        </is>
      </c>
    </row>
    <row r="118">
      <c r="A118" s="0" t="n">
        <v>124</v>
      </c>
      <c r="B118" s="0" t="inlineStr">
        <is>
          <t>09/05/2025</t>
        </is>
      </c>
      <c r="C118" s="0" t="inlineStr">
        <is>
          <t>Adibras - Transitória de ativos</t>
        </is>
      </c>
      <c r="D118" s="0" t="n"/>
      <c r="E118" s="0" t="n">
        <v>134.67</v>
      </c>
      <c r="F118" s="0" t="inlineStr">
        <is>
          <t>Seguro Fianca  11/0011</t>
        </is>
      </c>
      <c r="G118" s="0" t="inlineStr">
        <is>
          <t>FORNEC.RIO TROPICAL BRASIL DE</t>
        </is>
      </c>
      <c r="H118" s="0" t="inlineStr">
        <is>
          <t>Rua Capitão Felix N. 110 / Loja 18 Rua 11 Blc P Pav 02 (138 1/1)</t>
        </is>
      </c>
      <c r="I118" s="0" t="inlineStr">
        <is>
          <t>Seguro</t>
        </is>
      </c>
    </row>
    <row r="119">
      <c r="A119" s="0" t="n">
        <v>124</v>
      </c>
      <c r="B119" s="0" t="inlineStr">
        <is>
          <t>09/05/2025</t>
        </is>
      </c>
      <c r="C119" s="0" t="inlineStr">
        <is>
          <t>Adibras - Transitória de ativos</t>
        </is>
      </c>
      <c r="D119" s="0" t="n"/>
      <c r="E119" s="0" t="n">
        <v>258.6</v>
      </c>
      <c r="F119" s="0" t="inlineStr">
        <is>
          <t>Seguro Fianca  05/0060</t>
        </is>
      </c>
      <c r="G119" s="0" t="n"/>
      <c r="H119" s="0" t="inlineStr">
        <is>
          <t>Rua Sacadura Cabral N. 149 - Prédio (195 1/1)</t>
        </is>
      </c>
      <c r="I119" s="0" t="inlineStr">
        <is>
          <t>Seguro</t>
        </is>
      </c>
    </row>
    <row r="120">
      <c r="A120" s="0" t="n">
        <v>125</v>
      </c>
      <c r="B120" s="0" t="inlineStr">
        <is>
          <t>10/05/2025</t>
        </is>
      </c>
      <c r="C120" s="0" t="inlineStr">
        <is>
          <t>Outros Passivos:Adibras - Transitória de passivos</t>
        </is>
      </c>
      <c r="D120" s="0" t="n">
        <v>1042.14</v>
      </c>
      <c r="E120" s="0" t="n"/>
      <c r="F120" s="0" t="inlineStr">
        <is>
          <t>Condominio  01/2025</t>
        </is>
      </c>
      <c r="G120" s="0" t="inlineStr">
        <is>
          <t>ROBERTO DE BAERE NAEGELI</t>
        </is>
      </c>
      <c r="H120" s="0" t="inlineStr">
        <is>
          <t>Rua Da Passagem N. 83 / Sala 405 (130 1/1)</t>
        </is>
      </c>
      <c r="I120" s="0" t="inlineStr">
        <is>
          <t>Condomínio</t>
        </is>
      </c>
    </row>
    <row r="121">
      <c r="A121" s="0" t="n">
        <v>125</v>
      </c>
      <c r="B121" s="0" t="inlineStr">
        <is>
          <t>10/05/2025</t>
        </is>
      </c>
      <c r="C121" s="0" t="inlineStr">
        <is>
          <t>Adibras - Transitória de ativos</t>
        </is>
      </c>
      <c r="D121" s="0" t="n"/>
      <c r="E121" s="0" t="n">
        <v>1042.14</v>
      </c>
      <c r="F121" s="0" t="inlineStr">
        <is>
          <t>Condominio  01/2025</t>
        </is>
      </c>
      <c r="G121" s="0" t="inlineStr">
        <is>
          <t>ROBERTO DE BAERE NAEGELI</t>
        </is>
      </c>
      <c r="H121" s="0" t="inlineStr">
        <is>
          <t>Rua Da Passagem N. 83 / Sala 405 (130 1/1)</t>
        </is>
      </c>
      <c r="I121" s="0" t="inlineStr">
        <is>
          <t>Condomínio</t>
        </is>
      </c>
    </row>
    <row r="122">
      <c r="A122" s="0" t="n">
        <v>126</v>
      </c>
      <c r="B122" s="0" t="inlineStr">
        <is>
          <t>13/05/2025</t>
        </is>
      </c>
      <c r="C122" s="0" t="inlineStr">
        <is>
          <t>Outros Passivos:Adibras - Transitória de passivos</t>
        </is>
      </c>
      <c r="D122" s="0" t="n"/>
      <c r="E122" s="0" t="n">
        <v>536.73</v>
      </c>
      <c r="F122" s="0" t="inlineStr">
        <is>
          <t>Iptu Divida Ativa Ref. 2021(Loja e S/Loja) 31/0048</t>
        </is>
      </c>
      <c r="G122" s="0" t="inlineStr">
        <is>
          <t>BOULEVARD GOURMET RESTAURANTE</t>
        </is>
      </c>
      <c r="H122" s="0" t="inlineStr">
        <is>
          <t>R VISC DE INHAUMA, 62 LJA E SOBRELOJA</t>
        </is>
      </c>
      <c r="I122" s="0" t="inlineStr">
        <is>
          <t>Dívida Ativa</t>
        </is>
      </c>
    </row>
    <row r="123">
      <c r="A123" s="0" t="n">
        <v>126</v>
      </c>
      <c r="B123" s="0" t="inlineStr">
        <is>
          <t>13/05/2025</t>
        </is>
      </c>
      <c r="C123" s="0" t="inlineStr">
        <is>
          <t>Outros Passivos:Adibras - Transitória de passivos</t>
        </is>
      </c>
      <c r="D123" s="0" t="n"/>
      <c r="E123" s="0" t="n">
        <v>407.38</v>
      </c>
      <c r="F123" s="0" t="inlineStr">
        <is>
          <t>Iptu Divida Ativa Ref.2020 (Loja e S/Loja) 38/0048</t>
        </is>
      </c>
      <c r="G123" s="0" t="inlineStr">
        <is>
          <t>BOULEVARD GOURMET RESTAURANTE</t>
        </is>
      </c>
      <c r="H123" s="0" t="inlineStr">
        <is>
          <t>R VISC DE INHAUMA, 62 LJA E SOBRELOJA</t>
        </is>
      </c>
      <c r="I123" s="0" t="inlineStr">
        <is>
          <t>Dívida Ativa</t>
        </is>
      </c>
    </row>
    <row r="124">
      <c r="A124" s="0" t="n">
        <v>126</v>
      </c>
      <c r="B124" s="0" t="inlineStr">
        <is>
          <t>13/05/2025</t>
        </is>
      </c>
      <c r="C124" s="0" t="inlineStr">
        <is>
          <t>Outros Passivos:Adibras - Transitória de passivos</t>
        </is>
      </c>
      <c r="D124" s="0" t="n"/>
      <c r="E124" s="0" t="n">
        <v>46.89</v>
      </c>
      <c r="F124" s="0" t="inlineStr">
        <is>
          <t>Condominio  01/2025</t>
        </is>
      </c>
      <c r="G124" s="0" t="inlineStr">
        <is>
          <t>BAR E RESTAURANTE MONTE GORDO</t>
        </is>
      </c>
      <c r="H124" s="0" t="inlineStr">
        <is>
          <t>Rua Senador Dantas N. 44 / Loja A (177 1/1)</t>
        </is>
      </c>
      <c r="I124" s="0" t="inlineStr">
        <is>
          <t>Condomínio</t>
        </is>
      </c>
    </row>
    <row r="125">
      <c r="A125" s="0" t="n">
        <v>126</v>
      </c>
      <c r="B125" s="0" t="inlineStr">
        <is>
          <t>13/05/2025</t>
        </is>
      </c>
      <c r="C125" s="0" t="inlineStr">
        <is>
          <t>Outros Passivos:Adibras - Transitória de passivos</t>
        </is>
      </c>
      <c r="D125" s="0" t="n"/>
      <c r="E125" s="0" t="n">
        <v>147.69</v>
      </c>
      <c r="F125" s="0" t="inlineStr">
        <is>
          <t>Iptu Divida Ativa Ref.2020+2021 Reparcel. 17/0048</t>
        </is>
      </c>
      <c r="G125" s="0" t="inlineStr">
        <is>
          <t>BAR E RESTAURANTE MONTE GORDO</t>
        </is>
      </c>
      <c r="H125" s="0" t="inlineStr">
        <is>
          <t>Rua Senador Dantas N. 44 / Loja A (177 1/1)</t>
        </is>
      </c>
      <c r="I125" s="0" t="inlineStr">
        <is>
          <t>Dívida Ativa</t>
        </is>
      </c>
    </row>
    <row r="126">
      <c r="A126" s="0" t="n">
        <v>126</v>
      </c>
      <c r="B126" s="0" t="inlineStr">
        <is>
          <t>13/05/2025</t>
        </is>
      </c>
      <c r="C126" s="0" t="inlineStr">
        <is>
          <t>Outros Passivos:Adibras - Transitória de passivos</t>
        </is>
      </c>
      <c r="D126" s="0" t="n"/>
      <c r="E126" s="0" t="n">
        <v>660</v>
      </c>
      <c r="F126" s="0" t="inlineStr">
        <is>
          <t>Condominio  01/2025</t>
        </is>
      </c>
      <c r="G126" s="0" t="inlineStr">
        <is>
          <t>INTEGRADA GESTÃO DE NEGÓCIOS L</t>
        </is>
      </c>
      <c r="H126" s="0" t="inlineStr">
        <is>
          <t>Rua Do Rosário N. 112 / 8º Andar Corresp Ao 9º  /  Sala 801 Parte (178 9.2/9)</t>
        </is>
      </c>
      <c r="I126" s="0" t="inlineStr">
        <is>
          <t>Condomínio</t>
        </is>
      </c>
    </row>
    <row r="127">
      <c r="A127" s="0" t="n">
        <v>126</v>
      </c>
      <c r="B127" s="0" t="inlineStr">
        <is>
          <t>13/05/2025</t>
        </is>
      </c>
      <c r="C127" s="0" t="inlineStr">
        <is>
          <t>Outros Passivos:Adibras - Transitória de passivos</t>
        </is>
      </c>
      <c r="D127" s="0" t="n"/>
      <c r="E127" s="0" t="n">
        <v>20.19</v>
      </c>
      <c r="F127" s="0" t="inlineStr">
        <is>
          <t>Seguro C/Fogo Ref.2024/2025 04/0006</t>
        </is>
      </c>
      <c r="G127" s="0" t="inlineStr">
        <is>
          <t>INTEGRADA GESTÃO DE NEGÓCIOS L</t>
        </is>
      </c>
      <c r="H127" s="0" t="inlineStr">
        <is>
          <t>Rua Do Rosário N. 112 / 8º Andar Corresp Ao 9º  /  Sala 801 Parte (178 9.2/9)</t>
        </is>
      </c>
      <c r="I127" s="0" t="inlineStr">
        <is>
          <t>Seguro</t>
        </is>
      </c>
    </row>
    <row r="128">
      <c r="A128" s="0" t="n">
        <v>126</v>
      </c>
      <c r="B128" s="0" t="inlineStr">
        <is>
          <t>13/05/2025</t>
        </is>
      </c>
      <c r="C128" s="0" t="inlineStr">
        <is>
          <t>Adibras - Transitória de ativos</t>
        </is>
      </c>
      <c r="D128" s="0" t="n">
        <v>536.73</v>
      </c>
      <c r="E128" s="0" t="n"/>
      <c r="F128" s="0" t="inlineStr">
        <is>
          <t>Iptu Divida Ativa Ref. 2021(Loja e S/Loja) 31/0048</t>
        </is>
      </c>
      <c r="G128" s="0" t="inlineStr">
        <is>
          <t>BOULEVARD GOURMET RESTAURANTE</t>
        </is>
      </c>
      <c r="H128" s="0" t="inlineStr">
        <is>
          <t>R VISC DE INHAUMA, 62 LJA E SOBRELOJA</t>
        </is>
      </c>
      <c r="I128" s="0" t="inlineStr">
        <is>
          <t>Dívida Ativa</t>
        </is>
      </c>
    </row>
    <row r="129">
      <c r="A129" s="0" t="n">
        <v>126</v>
      </c>
      <c r="B129" s="0" t="inlineStr">
        <is>
          <t>13/05/2025</t>
        </is>
      </c>
      <c r="C129" s="0" t="inlineStr">
        <is>
          <t>Adibras - Transitória de ativos</t>
        </is>
      </c>
      <c r="D129" s="0" t="n">
        <v>407.38</v>
      </c>
      <c r="E129" s="0" t="n"/>
      <c r="F129" s="0" t="inlineStr">
        <is>
          <t>Iptu Divida Ativa Ref.2020 (Loja e S/Loja) 38/0048</t>
        </is>
      </c>
      <c r="G129" s="0" t="inlineStr">
        <is>
          <t>BOULEVARD GOURMET RESTAURANTE</t>
        </is>
      </c>
      <c r="H129" s="0" t="inlineStr">
        <is>
          <t>R VISC DE INHAUMA, 62 LJA E SOBRELOJA</t>
        </is>
      </c>
      <c r="I129" s="0" t="inlineStr">
        <is>
          <t>Dívida Ativa</t>
        </is>
      </c>
    </row>
    <row r="130">
      <c r="A130" s="0" t="n">
        <v>126</v>
      </c>
      <c r="B130" s="0" t="inlineStr">
        <is>
          <t>13/05/2025</t>
        </is>
      </c>
      <c r="C130" s="0" t="inlineStr">
        <is>
          <t>Adibras - Transitória de ativos</t>
        </is>
      </c>
      <c r="D130" s="0" t="n">
        <v>46.89</v>
      </c>
      <c r="E130" s="0" t="n"/>
      <c r="F130" s="0" t="inlineStr">
        <is>
          <t>Condominio  01/2025</t>
        </is>
      </c>
      <c r="G130" s="0" t="inlineStr">
        <is>
          <t>BAR E RESTAURANTE MONTE GORDO</t>
        </is>
      </c>
      <c r="H130" s="0" t="inlineStr">
        <is>
          <t>Rua Senador Dantas N. 44 / Loja A (177 1/1)</t>
        </is>
      </c>
      <c r="I130" s="0" t="inlineStr">
        <is>
          <t>Condomínio</t>
        </is>
      </c>
    </row>
    <row r="131">
      <c r="A131" s="0" t="n">
        <v>126</v>
      </c>
      <c r="B131" s="0" t="inlineStr">
        <is>
          <t>13/05/2025</t>
        </is>
      </c>
      <c r="C131" s="0" t="inlineStr">
        <is>
          <t>Adibras - Transitória de ativos</t>
        </is>
      </c>
      <c r="D131" s="0" t="n">
        <v>147.69</v>
      </c>
      <c r="E131" s="0" t="n"/>
      <c r="F131" s="0" t="inlineStr">
        <is>
          <t>Iptu Divida Ativa Ref.2020+2021 Reparcel. 17/0048</t>
        </is>
      </c>
      <c r="G131" s="0" t="inlineStr">
        <is>
          <t>BAR E RESTAURANTE MONTE GORDO</t>
        </is>
      </c>
      <c r="H131" s="0" t="inlineStr">
        <is>
          <t>Rua Senador Dantas N. 44 / Loja A (177 1/1)</t>
        </is>
      </c>
      <c r="I131" s="0" t="inlineStr">
        <is>
          <t>Dívida Ativa</t>
        </is>
      </c>
    </row>
    <row r="132">
      <c r="A132" s="0" t="n">
        <v>126</v>
      </c>
      <c r="B132" s="0" t="inlineStr">
        <is>
          <t>13/05/2025</t>
        </is>
      </c>
      <c r="C132" s="0" t="inlineStr">
        <is>
          <t>Adibras - Transitória de ativos</t>
        </is>
      </c>
      <c r="D132" s="0" t="n">
        <v>660</v>
      </c>
      <c r="E132" s="0" t="n"/>
      <c r="F132" s="0" t="inlineStr">
        <is>
          <t>Condominio  01/2025</t>
        </is>
      </c>
      <c r="G132" s="0" t="inlineStr">
        <is>
          <t>INTEGRADA GESTÃO DE NEGÓCIOS L</t>
        </is>
      </c>
      <c r="H132" s="0" t="inlineStr">
        <is>
          <t>Rua Do Rosário N. 112 / 8º Andar Corresp Ao 9º  /  Sala 801 Parte (178 9.2/9)</t>
        </is>
      </c>
      <c r="I132" s="0" t="inlineStr">
        <is>
          <t>Condomínio</t>
        </is>
      </c>
    </row>
    <row r="133">
      <c r="A133" s="0" t="n">
        <v>126</v>
      </c>
      <c r="B133" s="0" t="inlineStr">
        <is>
          <t>13/05/2025</t>
        </is>
      </c>
      <c r="C133" s="0" t="inlineStr">
        <is>
          <t>Adibras - Transitória de ativos</t>
        </is>
      </c>
      <c r="D133" s="0" t="n">
        <v>20.19</v>
      </c>
      <c r="E133" s="0" t="n"/>
      <c r="F133" s="0" t="inlineStr">
        <is>
          <t>Seguro C/Fogo Ref.2024/2025 04/0006</t>
        </is>
      </c>
      <c r="G133" s="0" t="inlineStr">
        <is>
          <t>INTEGRADA GESTÃO DE NEGÓCIOS L</t>
        </is>
      </c>
      <c r="H133" s="0" t="inlineStr">
        <is>
          <t>Rua Do Rosário N. 112 / 8º Andar Corresp Ao 9º  /  Sala 801 Parte (178 9.2/9)</t>
        </is>
      </c>
      <c r="I133" s="0" t="inlineStr">
        <is>
          <t>Seguro</t>
        </is>
      </c>
    </row>
    <row r="134">
      <c r="A134" s="0" t="n">
        <v>127</v>
      </c>
      <c r="B134" s="0" t="inlineStr">
        <is>
          <t>17/05/2025</t>
        </is>
      </c>
      <c r="C134" s="0" t="inlineStr">
        <is>
          <t>Outros Passivos:Adibras - Transitória de passivos</t>
        </is>
      </c>
      <c r="D134" s="0" t="n"/>
      <c r="E134" s="0" t="n">
        <v>264.58</v>
      </c>
      <c r="F134" s="0" t="inlineStr">
        <is>
          <t>Iptu Divida Ativa Ref.2020 38/0048</t>
        </is>
      </c>
      <c r="G134" s="0" t="inlineStr">
        <is>
          <t>A.S. DIVERS ADVENTURES LTDA-EP</t>
        </is>
      </c>
      <c r="H134" s="0" t="inlineStr">
        <is>
          <t>Rua Da Alfândega N. 97 / 1º E 2º Pavimentos (187 2/2)</t>
        </is>
      </c>
      <c r="I134" s="0" t="inlineStr">
        <is>
          <t>Dívida Ativa</t>
        </is>
      </c>
    </row>
    <row r="135">
      <c r="A135" s="0" t="n">
        <v>127</v>
      </c>
      <c r="B135" s="0" t="inlineStr">
        <is>
          <t>17/05/2025</t>
        </is>
      </c>
      <c r="C135" s="0" t="inlineStr">
        <is>
          <t>Adibras - Transitória de ativos</t>
        </is>
      </c>
      <c r="D135" s="0" t="n">
        <v>264.58</v>
      </c>
      <c r="E135" s="0" t="n"/>
      <c r="F135" s="0" t="inlineStr">
        <is>
          <t>Iptu Divida Ativa Ref.2020 38/0048</t>
        </is>
      </c>
      <c r="G135" s="0" t="inlineStr">
        <is>
          <t>A.S. DIVERS ADVENTURES LTDA-EP</t>
        </is>
      </c>
      <c r="H135" s="0" t="inlineStr">
        <is>
          <t>Rua Da Alfândega N. 97 / 1º E 2º Pavimentos (187 2/2)</t>
        </is>
      </c>
      <c r="I135" s="0" t="inlineStr">
        <is>
          <t>Dívida Ativa</t>
        </is>
      </c>
    </row>
    <row r="136">
      <c r="A136" s="0" t="n">
        <v>128</v>
      </c>
      <c r="B136" s="0" t="inlineStr">
        <is>
          <t>20/05/2025</t>
        </is>
      </c>
      <c r="C136" s="0" t="inlineStr">
        <is>
          <t>Outros Passivos:Adibras - Transitória de passivos</t>
        </is>
      </c>
      <c r="D136" s="0" t="n"/>
      <c r="E136" s="0" t="n">
        <v>1320</v>
      </c>
      <c r="F136" s="0" t="inlineStr">
        <is>
          <t>Condominio  12/2024</t>
        </is>
      </c>
      <c r="G136" s="0" t="inlineStr">
        <is>
          <t>RESTAURANTE DUROSÁRIO LTDA</t>
        </is>
      </c>
      <c r="H136" s="0" t="inlineStr">
        <is>
          <t>Rua Do Rosário N. 112 / Loja E Sobreloja (178 1.2/9)</t>
        </is>
      </c>
      <c r="I136" s="0" t="inlineStr">
        <is>
          <t>Condomínio</t>
        </is>
      </c>
    </row>
    <row r="137">
      <c r="A137" s="0" t="n">
        <v>128</v>
      </c>
      <c r="B137" s="0" t="inlineStr">
        <is>
          <t>20/05/2025</t>
        </is>
      </c>
      <c r="C137" s="0" t="inlineStr">
        <is>
          <t>Outros Passivos:Adibras - Transitória de passivos</t>
        </is>
      </c>
      <c r="D137" s="0" t="n"/>
      <c r="E137" s="0" t="n">
        <v>67.48</v>
      </c>
      <c r="F137" s="0" t="inlineStr">
        <is>
          <t>Seguro C/Fogo Ref.2024/2025 04/0006</t>
        </is>
      </c>
      <c r="G137" s="0" t="inlineStr">
        <is>
          <t>RESTAURANTE DUROSÁRIO LTDA</t>
        </is>
      </c>
      <c r="H137" s="0" t="inlineStr">
        <is>
          <t>Rua Do Rosário N. 112 / Loja E Sobreloja (178 1.2/9)</t>
        </is>
      </c>
      <c r="I137" s="0" t="inlineStr">
        <is>
          <t>Seguro</t>
        </is>
      </c>
    </row>
    <row r="138">
      <c r="A138" s="0" t="n">
        <v>128</v>
      </c>
      <c r="B138" s="0" t="inlineStr">
        <is>
          <t>20/05/2025</t>
        </is>
      </c>
      <c r="C138" s="0" t="inlineStr">
        <is>
          <t>Outros Passivos:Adibras - Transitória de passivos</t>
        </is>
      </c>
      <c r="D138" s="0" t="n"/>
      <c r="E138" s="0" t="n">
        <v>616.15</v>
      </c>
      <c r="F138" s="0" t="inlineStr">
        <is>
          <t>Agua e Esgoto  12/2024</t>
        </is>
      </c>
      <c r="G138" s="0" t="inlineStr">
        <is>
          <t>RESTAURANTE DUROSÁRIO LTDA</t>
        </is>
      </c>
      <c r="H138" s="0" t="inlineStr">
        <is>
          <t>Rua Do Rosário N. 112 / Loja E Sobreloja (178 1.2/9)</t>
        </is>
      </c>
      <c r="I138" s="0" t="inlineStr">
        <is>
          <t>Água e Esgoto</t>
        </is>
      </c>
    </row>
    <row r="139">
      <c r="A139" s="0" t="n">
        <v>128</v>
      </c>
      <c r="B139" s="0" t="inlineStr">
        <is>
          <t>20/05/2025</t>
        </is>
      </c>
      <c r="C139" s="0" t="inlineStr">
        <is>
          <t>Adibras - Transitória de ativos</t>
        </is>
      </c>
      <c r="D139" s="0" t="n">
        <v>1320</v>
      </c>
      <c r="E139" s="0" t="n"/>
      <c r="F139" s="0" t="inlineStr">
        <is>
          <t>Condominio  12/2024</t>
        </is>
      </c>
      <c r="G139" s="0" t="inlineStr">
        <is>
          <t>RESTAURANTE DUROSÁRIO LTDA</t>
        </is>
      </c>
      <c r="H139" s="0" t="inlineStr">
        <is>
          <t>Rua Do Rosário N. 112 / Loja E Sobreloja (178 1.2/9)</t>
        </is>
      </c>
      <c r="I139" s="0" t="inlineStr">
        <is>
          <t>Condomínio</t>
        </is>
      </c>
    </row>
    <row r="140">
      <c r="A140" s="0" t="n">
        <v>128</v>
      </c>
      <c r="B140" s="0" t="inlineStr">
        <is>
          <t>20/05/2025</t>
        </is>
      </c>
      <c r="C140" s="0" t="inlineStr">
        <is>
          <t>Adibras - Transitória de ativos</t>
        </is>
      </c>
      <c r="D140" s="0" t="n">
        <v>67.48</v>
      </c>
      <c r="E140" s="0" t="n"/>
      <c r="F140" s="0" t="inlineStr">
        <is>
          <t>Seguro C/Fogo Ref.2024/2025 04/0006</t>
        </is>
      </c>
      <c r="G140" s="0" t="inlineStr">
        <is>
          <t>RESTAURANTE DUROSÁRIO LTDA</t>
        </is>
      </c>
      <c r="H140" s="0" t="inlineStr">
        <is>
          <t>Rua Do Rosário N. 112 / Loja E Sobreloja (178 1.2/9)</t>
        </is>
      </c>
      <c r="I140" s="0" t="inlineStr">
        <is>
          <t>Seguro</t>
        </is>
      </c>
    </row>
    <row r="141">
      <c r="A141" s="0" t="n">
        <v>128</v>
      </c>
      <c r="B141" s="0" t="inlineStr">
        <is>
          <t>20/05/2025</t>
        </is>
      </c>
      <c r="C141" s="0" t="inlineStr">
        <is>
          <t>Adibras - Transitória de ativos</t>
        </is>
      </c>
      <c r="D141" s="0" t="n">
        <v>616.15</v>
      </c>
      <c r="E141" s="0" t="n"/>
      <c r="F141" s="0" t="inlineStr">
        <is>
          <t>Agua e Esgoto  12/2024</t>
        </is>
      </c>
      <c r="G141" s="0" t="inlineStr">
        <is>
          <t>RESTAURANTE DUROSÁRIO LTDA</t>
        </is>
      </c>
      <c r="H141" s="0" t="inlineStr">
        <is>
          <t>Rua Do Rosário N. 112 / Loja E Sobreloja (178 1.2/9)</t>
        </is>
      </c>
      <c r="I141" s="0" t="inlineStr">
        <is>
          <t>Água e Esgoto</t>
        </is>
      </c>
    </row>
    <row r="142">
      <c r="A142" s="0" t="n">
        <v>129</v>
      </c>
      <c r="B142" s="0" t="inlineStr">
        <is>
          <t>22/05/2025</t>
        </is>
      </c>
      <c r="C142" s="0" t="inlineStr">
        <is>
          <t>Outros Passivos:Adibras - Transitória de passivos</t>
        </is>
      </c>
      <c r="D142" s="0" t="n">
        <v>417.98</v>
      </c>
      <c r="E142" s="0" t="n"/>
      <c r="F142" s="0" t="inlineStr">
        <is>
          <t>Iptu Divida Ativa 2021 (Loja) 45% 31/0048</t>
        </is>
      </c>
      <c r="G142" s="0" t="inlineStr">
        <is>
          <t>BOULEVARD GOURMET RESTAURANTE</t>
        </is>
      </c>
      <c r="H142" s="0" t="inlineStr">
        <is>
          <t>R VISC DE INHAUMA, 62 LJA E SOBRELOJA</t>
        </is>
      </c>
      <c r="I142" s="0" t="inlineStr">
        <is>
          <t>Dívida Ativa</t>
        </is>
      </c>
    </row>
    <row r="143">
      <c r="A143" s="0" t="n">
        <v>129</v>
      </c>
      <c r="B143" s="0" t="inlineStr">
        <is>
          <t>22/05/2025</t>
        </is>
      </c>
      <c r="C143" s="0" t="inlineStr">
        <is>
          <t>Outros Passivos:Adibras - Transitória de passivos</t>
        </is>
      </c>
      <c r="D143" s="0" t="n">
        <v>148.39</v>
      </c>
      <c r="E143" s="0" t="n"/>
      <c r="F143" s="0" t="inlineStr">
        <is>
          <t>Iptu Divida Ativa 2021 (SBL) 45% 31/0048</t>
        </is>
      </c>
      <c r="G143" s="0" t="inlineStr">
        <is>
          <t>BOULEVARD GOURMET RESTAURANTE</t>
        </is>
      </c>
      <c r="H143" s="0" t="inlineStr">
        <is>
          <t>R VISC DE INHAUMA, 62 LJA E SOBRELOJA</t>
        </is>
      </c>
      <c r="I143" s="0" t="inlineStr">
        <is>
          <t>Dívida Ativa</t>
        </is>
      </c>
    </row>
    <row r="144">
      <c r="A144" s="0" t="n">
        <v>129</v>
      </c>
      <c r="B144" s="0" t="inlineStr">
        <is>
          <t>22/05/2025</t>
        </is>
      </c>
      <c r="C144" s="0" t="inlineStr">
        <is>
          <t>Outros Passivos:Adibras - Transitória de passivos</t>
        </is>
      </c>
      <c r="D144" s="0" t="n">
        <v>317.14</v>
      </c>
      <c r="E144" s="0" t="n"/>
      <c r="F144" s="0" t="inlineStr">
        <is>
          <t>Iptu Divida Ativa 2020 (Loja) 45% 38/0048</t>
        </is>
      </c>
      <c r="G144" s="0" t="inlineStr">
        <is>
          <t>BOULEVARD GOURMET RESTAURANTE</t>
        </is>
      </c>
      <c r="H144" s="0" t="inlineStr">
        <is>
          <t>R VISC DE INHAUMA, 62 LJA E SOBRELOJA</t>
        </is>
      </c>
      <c r="I144" s="0" t="inlineStr">
        <is>
          <t>Dívida Ativa</t>
        </is>
      </c>
    </row>
    <row r="145">
      <c r="A145" s="0" t="n">
        <v>129</v>
      </c>
      <c r="B145" s="0" t="inlineStr">
        <is>
          <t>22/05/2025</t>
        </is>
      </c>
      <c r="C145" s="0" t="inlineStr">
        <is>
          <t>Outros Passivos:Adibras - Transitória de passivos</t>
        </is>
      </c>
      <c r="D145" s="0" t="n">
        <v>112.57</v>
      </c>
      <c r="E145" s="0" t="n"/>
      <c r="F145" s="0" t="inlineStr">
        <is>
          <t>Iptu Divida Ativa 2020 (SBL) 45% 38/0048</t>
        </is>
      </c>
      <c r="G145" s="0" t="inlineStr">
        <is>
          <t>BOULEVARD GOURMET RESTAURANTE</t>
        </is>
      </c>
      <c r="H145" s="0" t="inlineStr">
        <is>
          <t>R VISC DE INHAUMA, 62 LJA E SOBRELOJA</t>
        </is>
      </c>
      <c r="I145" s="0" t="inlineStr">
        <is>
          <t>Dívida Ativa</t>
        </is>
      </c>
    </row>
    <row r="146">
      <c r="A146" s="0" t="n">
        <v>129</v>
      </c>
      <c r="B146" s="0" t="inlineStr">
        <is>
          <t>22/05/2025</t>
        </is>
      </c>
      <c r="C146" s="0" t="inlineStr">
        <is>
          <t>Outros Passivos:Adibras - Transitória de passivos</t>
        </is>
      </c>
      <c r="D146" s="0" t="n">
        <v>155.97</v>
      </c>
      <c r="E146" s="0" t="n"/>
      <c r="F146" s="0" t="inlineStr">
        <is>
          <t>Iptu Divida Ativa 2020/2021 18/0048</t>
        </is>
      </c>
      <c r="G146" s="0" t="inlineStr">
        <is>
          <t>BAR E RESTAURANTE MONTE GORDO</t>
        </is>
      </c>
      <c r="H146" s="0" t="inlineStr">
        <is>
          <t>Rua Senador Dantas N. 44 / Loja A (177 1/1)</t>
        </is>
      </c>
      <c r="I146" s="0" t="inlineStr">
        <is>
          <t>Dívida Ativa</t>
        </is>
      </c>
    </row>
    <row r="147">
      <c r="A147" s="0" t="n">
        <v>129</v>
      </c>
      <c r="B147" s="0" t="inlineStr">
        <is>
          <t>22/05/2025</t>
        </is>
      </c>
      <c r="C147" s="0" t="inlineStr">
        <is>
          <t>Outros Passivos:Adibras - Transitória de passivos</t>
        </is>
      </c>
      <c r="D147" s="0" t="n">
        <v>981.22</v>
      </c>
      <c r="E147" s="0" t="n"/>
      <c r="F147" s="0" t="inlineStr">
        <is>
          <t>Iptu Divida Ativa 2020 38/0048</t>
        </is>
      </c>
      <c r="G147" s="0" t="inlineStr">
        <is>
          <t>DUNA GRILL BAR E RESTAURANTE L</t>
        </is>
      </c>
      <c r="H147" s="0" t="inlineStr">
        <is>
          <t>Rua Evaristo Da Veiga N. 24 / Prédio (179 1/1)</t>
        </is>
      </c>
      <c r="I147" s="0" t="inlineStr">
        <is>
          <t>Dívida Ativa</t>
        </is>
      </c>
    </row>
    <row r="148">
      <c r="A148" s="0" t="n">
        <v>129</v>
      </c>
      <c r="B148" s="0" t="inlineStr">
        <is>
          <t>22/05/2025</t>
        </is>
      </c>
      <c r="C148" s="0" t="inlineStr">
        <is>
          <t>Outros Passivos:Adibras - Transitória de passivos</t>
        </is>
      </c>
      <c r="D148" s="0" t="n">
        <v>1222.16</v>
      </c>
      <c r="E148" s="0" t="n"/>
      <c r="F148" s="0" t="inlineStr">
        <is>
          <t>Iptu Divida Ativa 2022 10/0048</t>
        </is>
      </c>
      <c r="G148" s="0" t="inlineStr">
        <is>
          <t>DUNA GRILL BAR E RESTAURANTE L</t>
        </is>
      </c>
      <c r="H148" s="0" t="inlineStr">
        <is>
          <t>Rua Evaristo Da Veiga N. 24 / Prédio (179 1/1)</t>
        </is>
      </c>
      <c r="I148" s="0" t="inlineStr">
        <is>
          <t>Dívida Ativa</t>
        </is>
      </c>
    </row>
    <row r="149">
      <c r="A149" s="0" t="n">
        <v>129</v>
      </c>
      <c r="B149" s="0" t="inlineStr">
        <is>
          <t>22/05/2025</t>
        </is>
      </c>
      <c r="C149" s="0" t="inlineStr">
        <is>
          <t>Outros Passivos:Adibras - Transitória de passivos</t>
        </is>
      </c>
      <c r="D149" s="0" t="n">
        <v>1292.1</v>
      </c>
      <c r="E149" s="0" t="n"/>
      <c r="F149" s="0" t="inlineStr">
        <is>
          <t>Iptu Divida Ativa 2021 22/0048</t>
        </is>
      </c>
      <c r="G149" s="0" t="inlineStr">
        <is>
          <t>DUNA GRILL BAR E RESTAURANTE L</t>
        </is>
      </c>
      <c r="H149" s="0" t="inlineStr">
        <is>
          <t>Rua Evaristo Da Veiga N. 24 / Prédio (179 1/1)</t>
        </is>
      </c>
      <c r="I149" s="0" t="inlineStr">
        <is>
          <t>Dívida Ativa</t>
        </is>
      </c>
    </row>
    <row r="150">
      <c r="A150" s="0" t="n">
        <v>129</v>
      </c>
      <c r="B150" s="0" t="inlineStr">
        <is>
          <t>22/05/2025</t>
        </is>
      </c>
      <c r="C150" s="0" t="inlineStr">
        <is>
          <t>Outros Passivos:Adibras - Transitória de passivos</t>
        </is>
      </c>
      <c r="D150" s="0" t="n">
        <v>95.40000000000001</v>
      </c>
      <c r="E150" s="0" t="n"/>
      <c r="F150" s="0" t="inlineStr">
        <is>
          <t>Iptu Divida Ativa 2020 (N194) 38/0048</t>
        </is>
      </c>
      <c r="G150" s="0" t="inlineStr">
        <is>
          <t>BALLETARRJ ESCOLA DE DANCA LTD</t>
        </is>
      </c>
      <c r="H150" s="0" t="inlineStr">
        <is>
          <t>Rua São Francisco Xavier N. 194 Sobrado E 196 Sobrado (132 3/5)</t>
        </is>
      </c>
      <c r="I150" s="0" t="inlineStr">
        <is>
          <t>Dívida Ativa</t>
        </is>
      </c>
    </row>
    <row r="151">
      <c r="A151" s="0" t="n">
        <v>129</v>
      </c>
      <c r="B151" s="0" t="inlineStr">
        <is>
          <t>22/05/2025</t>
        </is>
      </c>
      <c r="C151" s="0" t="inlineStr">
        <is>
          <t>Outros Passivos:Adibras - Transitória de passivos</t>
        </is>
      </c>
      <c r="D151" s="0" t="n">
        <v>319.1</v>
      </c>
      <c r="E151" s="0" t="n"/>
      <c r="F151" s="0" t="inlineStr">
        <is>
          <t>Iptu Divida Ativa 2020 (N 196) 38/0048</t>
        </is>
      </c>
      <c r="G151" s="0" t="inlineStr">
        <is>
          <t>BALLETARRJ ESCOLA DE DANCA LTD</t>
        </is>
      </c>
      <c r="H151" s="0" t="inlineStr">
        <is>
          <t>Rua São Francisco Xavier N. 194 Sobrado E 196 Sobrado (132 3/5)</t>
        </is>
      </c>
      <c r="I151" s="0" t="inlineStr">
        <is>
          <t>Dívida Ativa</t>
        </is>
      </c>
    </row>
    <row r="152">
      <c r="A152" s="0" t="n">
        <v>129</v>
      </c>
      <c r="B152" s="0" t="inlineStr">
        <is>
          <t>22/05/2025</t>
        </is>
      </c>
      <c r="C152" s="0" t="inlineStr">
        <is>
          <t>Outros Passivos:Adibras - Transitória de passivos</t>
        </is>
      </c>
      <c r="D152" s="0" t="n">
        <v>264.58</v>
      </c>
      <c r="E152" s="0" t="n"/>
      <c r="F152" s="0" t="inlineStr">
        <is>
          <t>Iptu Divida Ativa 2020 38/0048</t>
        </is>
      </c>
      <c r="G152" s="0" t="inlineStr">
        <is>
          <t>MICHEL FALCAO ROSA E/OU</t>
        </is>
      </c>
      <c r="H152" s="0" t="inlineStr">
        <is>
          <t>Rua Da Alfândega N. 97 / Loja (187 1/2)</t>
        </is>
      </c>
      <c r="I152" s="0" t="inlineStr">
        <is>
          <t>Dívida Ativa</t>
        </is>
      </c>
    </row>
    <row r="153">
      <c r="A153" s="0" t="n">
        <v>129</v>
      </c>
      <c r="B153" s="0" t="inlineStr">
        <is>
          <t>22/05/2025</t>
        </is>
      </c>
      <c r="C153" s="0" t="inlineStr">
        <is>
          <t>Outros Passivos:Adibras - Transitória de passivos</t>
        </is>
      </c>
      <c r="D153" s="0" t="n">
        <v>264.58</v>
      </c>
      <c r="E153" s="0" t="n"/>
      <c r="F153" s="0" t="inlineStr">
        <is>
          <t>Iptu Divida Ativa 2020 38/0048</t>
        </is>
      </c>
      <c r="G153" s="0" t="inlineStr">
        <is>
          <t>A.S. DIVERS ADVENTURES LTDA-EP</t>
        </is>
      </c>
      <c r="H153" s="0" t="inlineStr">
        <is>
          <t>Rua Da Alfândega N. 97 / 1º E 2º Pavimentos (187 2/2)</t>
        </is>
      </c>
      <c r="I153" s="0" t="inlineStr">
        <is>
          <t>Dívida Ativa</t>
        </is>
      </c>
    </row>
    <row r="154">
      <c r="A154" s="0" t="n">
        <v>129</v>
      </c>
      <c r="B154" s="0" t="inlineStr">
        <is>
          <t>22/05/2025</t>
        </is>
      </c>
      <c r="C154" s="0" t="inlineStr">
        <is>
          <t>Adibras - Transitória de ativos</t>
        </is>
      </c>
      <c r="D154" s="0" t="n"/>
      <c r="E154" s="0" t="n">
        <v>417.98</v>
      </c>
      <c r="F154" s="0" t="inlineStr">
        <is>
          <t>Iptu Divida Ativa 2021 (Loja) 45% 31/0048</t>
        </is>
      </c>
      <c r="G154" s="0" t="inlineStr">
        <is>
          <t>BOULEVARD GOURMET RESTAURANTE</t>
        </is>
      </c>
      <c r="H154" s="0" t="inlineStr">
        <is>
          <t>R VISC DE INHAUMA, 62 LJA E SOBRELOJA</t>
        </is>
      </c>
      <c r="I154" s="0" t="inlineStr">
        <is>
          <t>Dívida Ativa</t>
        </is>
      </c>
    </row>
    <row r="155">
      <c r="A155" s="0" t="n">
        <v>129</v>
      </c>
      <c r="B155" s="0" t="inlineStr">
        <is>
          <t>22/05/2025</t>
        </is>
      </c>
      <c r="C155" s="0" t="inlineStr">
        <is>
          <t>Adibras - Transitória de ativos</t>
        </is>
      </c>
      <c r="D155" s="0" t="n"/>
      <c r="E155" s="0" t="n">
        <v>148.39</v>
      </c>
      <c r="F155" s="0" t="inlineStr">
        <is>
          <t>Iptu Divida Ativa 2021 (SBL) 45% 31/0048</t>
        </is>
      </c>
      <c r="G155" s="0" t="inlineStr">
        <is>
          <t>BOULEVARD GOURMET RESTAURANTE</t>
        </is>
      </c>
      <c r="H155" s="0" t="inlineStr">
        <is>
          <t>R VISC DE INHAUMA, 62 LJA E SOBRELOJA</t>
        </is>
      </c>
      <c r="I155" s="0" t="inlineStr">
        <is>
          <t>Dívida Ativa</t>
        </is>
      </c>
    </row>
    <row r="156">
      <c r="A156" s="0" t="n">
        <v>129</v>
      </c>
      <c r="B156" s="0" t="inlineStr">
        <is>
          <t>22/05/2025</t>
        </is>
      </c>
      <c r="C156" s="0" t="inlineStr">
        <is>
          <t>Adibras - Transitória de ativos</t>
        </is>
      </c>
      <c r="D156" s="0" t="n"/>
      <c r="E156" s="0" t="n">
        <v>317.14</v>
      </c>
      <c r="F156" s="0" t="inlineStr">
        <is>
          <t>Iptu Divida Ativa 2020 (Loja) 45% 38/0048</t>
        </is>
      </c>
      <c r="G156" s="0" t="inlineStr">
        <is>
          <t>BOULEVARD GOURMET RESTAURANTE</t>
        </is>
      </c>
      <c r="H156" s="0" t="inlineStr">
        <is>
          <t>R VISC DE INHAUMA, 62 LJA E SOBRELOJA</t>
        </is>
      </c>
      <c r="I156" s="0" t="inlineStr">
        <is>
          <t>Dívida Ativa</t>
        </is>
      </c>
    </row>
    <row r="157">
      <c r="A157" s="0" t="n">
        <v>129</v>
      </c>
      <c r="B157" s="0" t="inlineStr">
        <is>
          <t>22/05/2025</t>
        </is>
      </c>
      <c r="C157" s="0" t="inlineStr">
        <is>
          <t>Adibras - Transitória de ativos</t>
        </is>
      </c>
      <c r="D157" s="0" t="n"/>
      <c r="E157" s="0" t="n">
        <v>112.57</v>
      </c>
      <c r="F157" s="0" t="inlineStr">
        <is>
          <t>Iptu Divida Ativa 2020 (SBL) 45% 38/0048</t>
        </is>
      </c>
      <c r="G157" s="0" t="inlineStr">
        <is>
          <t>BOULEVARD GOURMET RESTAURANTE</t>
        </is>
      </c>
      <c r="H157" s="0" t="inlineStr">
        <is>
          <t>R VISC DE INHAUMA, 62 LJA E SOBRELOJA</t>
        </is>
      </c>
      <c r="I157" s="0" t="inlineStr">
        <is>
          <t>Dívida Ativa</t>
        </is>
      </c>
    </row>
    <row r="158">
      <c r="A158" s="0" t="n">
        <v>129</v>
      </c>
      <c r="B158" s="0" t="inlineStr">
        <is>
          <t>22/05/2025</t>
        </is>
      </c>
      <c r="C158" s="0" t="inlineStr">
        <is>
          <t>Adibras - Transitória de ativos</t>
        </is>
      </c>
      <c r="D158" s="0" t="n"/>
      <c r="E158" s="0" t="n">
        <v>155.97</v>
      </c>
      <c r="F158" s="0" t="inlineStr">
        <is>
          <t>Iptu Divida Ativa 2020/2021 18/0048</t>
        </is>
      </c>
      <c r="G158" s="0" t="inlineStr">
        <is>
          <t>BAR E RESTAURANTE MONTE GORDO</t>
        </is>
      </c>
      <c r="H158" s="0" t="inlineStr">
        <is>
          <t>Rua Senador Dantas N. 44 / Loja A (177 1/1)</t>
        </is>
      </c>
      <c r="I158" s="0" t="inlineStr">
        <is>
          <t>Dívida Ativa</t>
        </is>
      </c>
    </row>
    <row r="159">
      <c r="A159" s="0" t="n">
        <v>129</v>
      </c>
      <c r="B159" s="0" t="inlineStr">
        <is>
          <t>22/05/2025</t>
        </is>
      </c>
      <c r="C159" s="0" t="inlineStr">
        <is>
          <t>Adibras - Transitória de ativos</t>
        </is>
      </c>
      <c r="D159" s="0" t="n"/>
      <c r="E159" s="0" t="n">
        <v>981.22</v>
      </c>
      <c r="F159" s="0" t="inlineStr">
        <is>
          <t>Iptu Divida Ativa 2020 38/0048</t>
        </is>
      </c>
      <c r="G159" s="0" t="inlineStr">
        <is>
          <t>DUNA GRILL BAR E RESTAURANTE L</t>
        </is>
      </c>
      <c r="H159" s="0" t="inlineStr">
        <is>
          <t>Rua Evaristo Da Veiga N. 24 / Prédio (179 1/1)</t>
        </is>
      </c>
      <c r="I159" s="0" t="inlineStr">
        <is>
          <t>Dívida Ativa</t>
        </is>
      </c>
    </row>
    <row r="160">
      <c r="A160" s="0" t="n">
        <v>129</v>
      </c>
      <c r="B160" s="0" t="inlineStr">
        <is>
          <t>22/05/2025</t>
        </is>
      </c>
      <c r="C160" s="0" t="inlineStr">
        <is>
          <t>Adibras - Transitória de ativos</t>
        </is>
      </c>
      <c r="D160" s="0" t="n"/>
      <c r="E160" s="0" t="n">
        <v>1222.16</v>
      </c>
      <c r="F160" s="0" t="inlineStr">
        <is>
          <t>Iptu Divida Ativa 2022 10/0048</t>
        </is>
      </c>
      <c r="G160" s="0" t="inlineStr">
        <is>
          <t>DUNA GRILL BAR E RESTAURANTE L</t>
        </is>
      </c>
      <c r="H160" s="0" t="inlineStr">
        <is>
          <t>Rua Evaristo Da Veiga N. 24 / Prédio (179 1/1)</t>
        </is>
      </c>
      <c r="I160" s="0" t="inlineStr">
        <is>
          <t>Dívida Ativa</t>
        </is>
      </c>
    </row>
    <row r="161">
      <c r="A161" s="0" t="n">
        <v>129</v>
      </c>
      <c r="B161" s="0" t="inlineStr">
        <is>
          <t>22/05/2025</t>
        </is>
      </c>
      <c r="C161" s="0" t="inlineStr">
        <is>
          <t>Adibras - Transitória de ativos</t>
        </is>
      </c>
      <c r="D161" s="0" t="n"/>
      <c r="E161" s="0" t="n">
        <v>1292.1</v>
      </c>
      <c r="F161" s="0" t="inlineStr">
        <is>
          <t>Iptu Divida Ativa 2021 22/0048</t>
        </is>
      </c>
      <c r="G161" s="0" t="inlineStr">
        <is>
          <t>DUNA GRILL BAR E RESTAURANTE L</t>
        </is>
      </c>
      <c r="H161" s="0" t="inlineStr">
        <is>
          <t>Rua Evaristo Da Veiga N. 24 / Prédio (179 1/1)</t>
        </is>
      </c>
      <c r="I161" s="0" t="inlineStr">
        <is>
          <t>Dívida Ativa</t>
        </is>
      </c>
    </row>
    <row r="162">
      <c r="A162" s="0" t="n">
        <v>129</v>
      </c>
      <c r="B162" s="0" t="inlineStr">
        <is>
          <t>22/05/2025</t>
        </is>
      </c>
      <c r="C162" s="0" t="inlineStr">
        <is>
          <t>Adibras - Transitória de ativos</t>
        </is>
      </c>
      <c r="D162" s="0" t="n"/>
      <c r="E162" s="0" t="n">
        <v>95.40000000000001</v>
      </c>
      <c r="F162" s="0" t="inlineStr">
        <is>
          <t>Iptu Divida Ativa 2020 (N194) 38/0048</t>
        </is>
      </c>
      <c r="G162" s="0" t="inlineStr">
        <is>
          <t>BALLETARRJ ESCOLA DE DANCA LTD</t>
        </is>
      </c>
      <c r="H162" s="0" t="inlineStr">
        <is>
          <t>Rua São Francisco Xavier N. 194 Sobrado E 196 Sobrado (132 3/5)</t>
        </is>
      </c>
      <c r="I162" s="0" t="inlineStr">
        <is>
          <t>Dívida Ativa</t>
        </is>
      </c>
    </row>
    <row r="163">
      <c r="A163" s="0" t="n">
        <v>129</v>
      </c>
      <c r="B163" s="0" t="inlineStr">
        <is>
          <t>22/05/2025</t>
        </is>
      </c>
      <c r="C163" s="0" t="inlineStr">
        <is>
          <t>Adibras - Transitória de ativos</t>
        </is>
      </c>
      <c r="D163" s="0" t="n"/>
      <c r="E163" s="0" t="n">
        <v>319.1</v>
      </c>
      <c r="F163" s="0" t="inlineStr">
        <is>
          <t>Iptu Divida Ativa 2020 (N 196) 38/0048</t>
        </is>
      </c>
      <c r="G163" s="0" t="inlineStr">
        <is>
          <t>BALLETARRJ ESCOLA DE DANCA LTD</t>
        </is>
      </c>
      <c r="H163" s="0" t="inlineStr">
        <is>
          <t>Rua São Francisco Xavier N. 194 Sobrado E 196 Sobrado (132 3/5)</t>
        </is>
      </c>
      <c r="I163" s="0" t="inlineStr">
        <is>
          <t>Dívida Ativa</t>
        </is>
      </c>
    </row>
    <row r="164">
      <c r="A164" s="0" t="n">
        <v>129</v>
      </c>
      <c r="B164" s="0" t="inlineStr">
        <is>
          <t>22/05/2025</t>
        </is>
      </c>
      <c r="C164" s="0" t="inlineStr">
        <is>
          <t>Adibras - Transitória de ativos</t>
        </is>
      </c>
      <c r="D164" s="0" t="n"/>
      <c r="E164" s="0" t="n">
        <v>264.58</v>
      </c>
      <c r="F164" s="0" t="inlineStr">
        <is>
          <t>Iptu Divida Ativa 2020 38/0048</t>
        </is>
      </c>
      <c r="G164" s="0" t="inlineStr">
        <is>
          <t>MICHEL FALCAO ROSA E/OU</t>
        </is>
      </c>
      <c r="H164" s="0" t="inlineStr">
        <is>
          <t>Rua Da Alfândega N. 97 / Loja (187 1/2)</t>
        </is>
      </c>
      <c r="I164" s="0" t="inlineStr">
        <is>
          <t>Dívida Ativa</t>
        </is>
      </c>
    </row>
    <row r="165">
      <c r="A165" s="0" t="n">
        <v>129</v>
      </c>
      <c r="B165" s="0" t="inlineStr">
        <is>
          <t>22/05/2025</t>
        </is>
      </c>
      <c r="C165" s="0" t="inlineStr">
        <is>
          <t>Adibras - Transitória de ativos</t>
        </is>
      </c>
      <c r="D165" s="0" t="n"/>
      <c r="E165" s="0" t="n">
        <v>264.58</v>
      </c>
      <c r="F165" s="0" t="inlineStr">
        <is>
          <t>Iptu Divida Ativa 2020 38/0048</t>
        </is>
      </c>
      <c r="G165" s="0" t="inlineStr">
        <is>
          <t>A.S. DIVERS ADVENTURES LTDA-EP</t>
        </is>
      </c>
      <c r="H165" s="0" t="inlineStr">
        <is>
          <t>Rua Da Alfândega N. 97 / 1º E 2º Pavimentos (187 2/2)</t>
        </is>
      </c>
      <c r="I165" s="0" t="inlineStr">
        <is>
          <t>Dívida Ativa</t>
        </is>
      </c>
    </row>
    <row r="166">
      <c r="A166" s="0" t="n">
        <v>130</v>
      </c>
      <c r="B166" s="0" t="inlineStr">
        <is>
          <t>29/05/2025</t>
        </is>
      </c>
      <c r="C166" s="0" t="inlineStr">
        <is>
          <t>Outros Passivos:Adibras - Transitória de passivos</t>
        </is>
      </c>
      <c r="D166" s="0" t="n"/>
      <c r="E166" s="0" t="n">
        <v>1960.8</v>
      </c>
      <c r="F166" s="0" t="inlineStr">
        <is>
          <t>Imp.Predial(IPTU)  01/0010</t>
        </is>
      </c>
      <c r="G166" s="0" t="inlineStr">
        <is>
          <t>REST.RECANTO DA PRAIA DO CENTR</t>
        </is>
      </c>
      <c r="H166" s="0" t="inlineStr">
        <is>
          <t>Praça Mauá N. 15 / Loja 15-A (134 1/2)</t>
        </is>
      </c>
      <c r="I166" s="0" t="inlineStr">
        <is>
          <t>IPTU</t>
        </is>
      </c>
    </row>
    <row r="167">
      <c r="A167" s="0" t="n">
        <v>130</v>
      </c>
      <c r="B167" s="0" t="inlineStr">
        <is>
          <t>29/05/2025</t>
        </is>
      </c>
      <c r="C167" s="0" t="inlineStr">
        <is>
          <t>Outros Passivos:Adibras - Transitória de passivos</t>
        </is>
      </c>
      <c r="D167" s="0" t="n"/>
      <c r="E167" s="0" t="n">
        <v>275.24</v>
      </c>
      <c r="F167" s="0" t="inlineStr">
        <is>
          <t>Seguro C/Fogo 2024/2025 04/0004</t>
        </is>
      </c>
      <c r="G167" s="0" t="inlineStr">
        <is>
          <t>REST.RECANTO DA PRAIA DO CENTR</t>
        </is>
      </c>
      <c r="H167" s="0" t="inlineStr">
        <is>
          <t>Praça Mauá N. 15 / Loja 15-A (134 1/2)</t>
        </is>
      </c>
      <c r="I167" s="0" t="inlineStr">
        <is>
          <t>Seguro</t>
        </is>
      </c>
    </row>
    <row r="168">
      <c r="A168" s="0" t="n">
        <v>130</v>
      </c>
      <c r="B168" s="0" t="inlineStr">
        <is>
          <t>29/05/2025</t>
        </is>
      </c>
      <c r="C168" s="0" t="inlineStr">
        <is>
          <t>Outros Passivos:Adibras - Transitória de passivos</t>
        </is>
      </c>
      <c r="D168" s="0" t="n"/>
      <c r="E168" s="0" t="n">
        <v>143.27</v>
      </c>
      <c r="F168" s="0" t="inlineStr">
        <is>
          <t>Taxa Incendio Ref.2024 01/0005</t>
        </is>
      </c>
      <c r="G168" s="0" t="inlineStr">
        <is>
          <t>REST.RECANTO DA PRAIA DO CENTR</t>
        </is>
      </c>
      <c r="H168" s="0" t="inlineStr">
        <is>
          <t>Praça Mauá N. 15 / Loja 15-A (134 1/2)</t>
        </is>
      </c>
      <c r="I168" s="0" t="inlineStr">
        <is>
          <t>Taxa Incêndio</t>
        </is>
      </c>
    </row>
    <row r="169">
      <c r="A169" s="0" t="n">
        <v>130</v>
      </c>
      <c r="B169" s="0" t="inlineStr">
        <is>
          <t>29/05/2025</t>
        </is>
      </c>
      <c r="C169" s="0" t="inlineStr">
        <is>
          <t>Adibras - Transitória de ativos</t>
        </is>
      </c>
      <c r="D169" s="0" t="n">
        <v>1960.8</v>
      </c>
      <c r="E169" s="0" t="n"/>
      <c r="F169" s="0" t="inlineStr">
        <is>
          <t>Imp.Predial(IPTU)  01/0010</t>
        </is>
      </c>
      <c r="G169" s="0" t="inlineStr">
        <is>
          <t>REST.RECANTO DA PRAIA DO CENTR</t>
        </is>
      </c>
      <c r="H169" s="0" t="inlineStr">
        <is>
          <t>Praça Mauá N. 15 / Loja 15-A (134 1/2)</t>
        </is>
      </c>
      <c r="I169" s="0" t="inlineStr">
        <is>
          <t>IPTU</t>
        </is>
      </c>
    </row>
    <row r="170">
      <c r="A170" s="0" t="n">
        <v>130</v>
      </c>
      <c r="B170" s="0" t="inlineStr">
        <is>
          <t>29/05/2025</t>
        </is>
      </c>
      <c r="C170" s="0" t="inlineStr">
        <is>
          <t>Adibras - Transitória de ativos</t>
        </is>
      </c>
      <c r="D170" s="0" t="n">
        <v>275.24</v>
      </c>
      <c r="E170" s="0" t="n"/>
      <c r="F170" s="0" t="inlineStr">
        <is>
          <t>Seguro C/Fogo 2024/2025 04/0004</t>
        </is>
      </c>
      <c r="G170" s="0" t="inlineStr">
        <is>
          <t>REST.RECANTO DA PRAIA DO CENTR</t>
        </is>
      </c>
      <c r="H170" s="0" t="inlineStr">
        <is>
          <t>Praça Mauá N. 15 / Loja 15-A (134 1/2)</t>
        </is>
      </c>
      <c r="I170" s="0" t="inlineStr">
        <is>
          <t>Seguro</t>
        </is>
      </c>
    </row>
    <row r="171">
      <c r="A171" s="0" t="n">
        <v>130</v>
      </c>
      <c r="B171" s="0" t="inlineStr">
        <is>
          <t>29/05/2025</t>
        </is>
      </c>
      <c r="C171" s="0" t="inlineStr">
        <is>
          <t>Adibras - Transitória de ativos</t>
        </is>
      </c>
      <c r="D171" s="0" t="n">
        <v>143.27</v>
      </c>
      <c r="E171" s="0" t="n"/>
      <c r="F171" s="0" t="inlineStr">
        <is>
          <t>Taxa Incendio Ref.2024 01/0005</t>
        </is>
      </c>
      <c r="G171" s="0" t="inlineStr">
        <is>
          <t>REST.RECANTO DA PRAIA DO CENTR</t>
        </is>
      </c>
      <c r="H171" s="0" t="inlineStr">
        <is>
          <t>Praça Mauá N. 15 / Loja 15-A (134 1/2)</t>
        </is>
      </c>
      <c r="I171" s="0" t="inlineStr">
        <is>
          <t>Taxa Incêndio</t>
        </is>
      </c>
    </row>
    <row r="172">
      <c r="A172" s="0" t="n">
        <v>131</v>
      </c>
      <c r="B172" s="0" t="inlineStr">
        <is>
          <t>30/05/2025</t>
        </is>
      </c>
      <c r="C172" s="0" t="inlineStr">
        <is>
          <t>Outros Passivos:Adibras - Transitória de passivos</t>
        </is>
      </c>
      <c r="D172" s="0" t="n"/>
      <c r="E172" s="0" t="n">
        <v>1042.14</v>
      </c>
      <c r="F172" s="0" t="inlineStr">
        <is>
          <t>Condominio  02/2025</t>
        </is>
      </c>
      <c r="G172" s="0" t="inlineStr">
        <is>
          <t>ROBERTO DE BAERE NAEGELI</t>
        </is>
      </c>
      <c r="H172" s="0" t="inlineStr">
        <is>
          <t>Rua Da Passagem N. 83 / Sala 405 (130 1/1)</t>
        </is>
      </c>
      <c r="I172" s="0" t="inlineStr">
        <is>
          <t>Condomínio</t>
        </is>
      </c>
    </row>
    <row r="173">
      <c r="A173" s="0" t="n">
        <v>131</v>
      </c>
      <c r="B173" s="0" t="inlineStr">
        <is>
          <t>30/05/2025</t>
        </is>
      </c>
      <c r="C173" s="0" t="inlineStr">
        <is>
          <t>Outros Passivos:Adibras - Transitória de passivos</t>
        </is>
      </c>
      <c r="D173" s="0" t="n"/>
      <c r="E173" s="0" t="n">
        <v>200.4</v>
      </c>
      <c r="F173" s="0" t="inlineStr">
        <is>
          <t>Imp.Predial(IPTU)  01/0010</t>
        </is>
      </c>
      <c r="G173" s="0" t="inlineStr">
        <is>
          <t>ROBERTO DE BAERE NAEGELI</t>
        </is>
      </c>
      <c r="H173" s="0" t="inlineStr">
        <is>
          <t>Rua Da Passagem N. 83 / Sala 405 (130 1/1)</t>
        </is>
      </c>
      <c r="I173" s="0" t="inlineStr">
        <is>
          <t>IPTU</t>
        </is>
      </c>
    </row>
    <row r="174">
      <c r="A174" s="0" t="n">
        <v>131</v>
      </c>
      <c r="B174" s="0" t="inlineStr">
        <is>
          <t>30/05/2025</t>
        </is>
      </c>
      <c r="C174" s="0" t="inlineStr">
        <is>
          <t>Outros Passivos:Adibras - Transitória de passivos</t>
        </is>
      </c>
      <c r="D174" s="0" t="n"/>
      <c r="E174" s="0" t="n">
        <v>69.75</v>
      </c>
      <c r="F174" s="0" t="inlineStr">
        <is>
          <t>Taxa Incendio Ref.2024(9 Meses e 24 Dias0 01/0001</t>
        </is>
      </c>
      <c r="G174" s="0" t="inlineStr">
        <is>
          <t>ROBERTO DE BAERE NAEGELI</t>
        </is>
      </c>
      <c r="H174" s="0" t="inlineStr">
        <is>
          <t>Rua Da Passagem N. 83 / Sala 405 (130 1/1)</t>
        </is>
      </c>
      <c r="I174" s="0" t="inlineStr">
        <is>
          <t>Taxa Incêndio</t>
        </is>
      </c>
    </row>
    <row r="175">
      <c r="A175" s="0" t="n">
        <v>131</v>
      </c>
      <c r="B175" s="0" t="inlineStr">
        <is>
          <t>30/05/2025</t>
        </is>
      </c>
      <c r="C175" s="0" t="inlineStr">
        <is>
          <t>Outros Passivos:Adibras - Transitória de passivos</t>
        </is>
      </c>
      <c r="D175" s="0" t="n"/>
      <c r="E175" s="0" t="n">
        <v>660</v>
      </c>
      <c r="F175" s="0" t="inlineStr">
        <is>
          <t>Condominio  02/2025</t>
        </is>
      </c>
      <c r="G175" s="0" t="inlineStr">
        <is>
          <t>LUIZ EDUARDO NOGUEIRA SORAGGI</t>
        </is>
      </c>
      <c r="H175" s="0" t="inlineStr">
        <is>
          <t>Rua Do Rosário N. 112 / 3º Andar (178 4/9)</t>
        </is>
      </c>
      <c r="I175" s="0" t="inlineStr">
        <is>
          <t>Condomínio</t>
        </is>
      </c>
    </row>
    <row r="176">
      <c r="A176" s="0" t="n">
        <v>131</v>
      </c>
      <c r="B176" s="0" t="inlineStr">
        <is>
          <t>30/05/2025</t>
        </is>
      </c>
      <c r="C176" s="0" t="inlineStr">
        <is>
          <t>Outros Passivos:Adibras - Transitória de passivos</t>
        </is>
      </c>
      <c r="D176" s="0" t="n"/>
      <c r="E176" s="0" t="n">
        <v>315.06</v>
      </c>
      <c r="F176" s="0" t="inlineStr">
        <is>
          <t>Imp.Predial(IPTU)  01/0010</t>
        </is>
      </c>
      <c r="G176" s="0" t="inlineStr">
        <is>
          <t>LUIZ EDUARDO NOGUEIRA SORAGGI</t>
        </is>
      </c>
      <c r="H176" s="0" t="inlineStr">
        <is>
          <t>Rua Do Rosário N. 112 / 3º Andar (178 4/9)</t>
        </is>
      </c>
      <c r="I176" s="0" t="inlineStr">
        <is>
          <t>IPTU</t>
        </is>
      </c>
    </row>
    <row r="177">
      <c r="A177" s="0" t="n">
        <v>131</v>
      </c>
      <c r="B177" s="0" t="inlineStr">
        <is>
          <t>30/05/2025</t>
        </is>
      </c>
      <c r="C177" s="0" t="inlineStr">
        <is>
          <t>Outros Passivos:Adibras - Transitória de passivos</t>
        </is>
      </c>
      <c r="D177" s="0" t="n"/>
      <c r="E177" s="0" t="n">
        <v>15.99</v>
      </c>
      <c r="F177" s="0" t="inlineStr">
        <is>
          <t>Seguro C/Fogo Ref.2024/2025 05/0006</t>
        </is>
      </c>
      <c r="G177" s="0" t="inlineStr">
        <is>
          <t>LUIZ EDUARDO NOGUEIRA SORAGGI</t>
        </is>
      </c>
      <c r="H177" s="0" t="inlineStr">
        <is>
          <t>Rua Do Rosário N. 112 / 3º Andar (178 4/9)</t>
        </is>
      </c>
      <c r="I177" s="0" t="inlineStr">
        <is>
          <t>Seguro</t>
        </is>
      </c>
    </row>
    <row r="178">
      <c r="A178" s="0" t="n">
        <v>131</v>
      </c>
      <c r="B178" s="0" t="inlineStr">
        <is>
          <t>30/05/2025</t>
        </is>
      </c>
      <c r="C178" s="0" t="inlineStr">
        <is>
          <t>Outros Passivos:Adibras - Transitória de passivos</t>
        </is>
      </c>
      <c r="D178" s="0" t="n"/>
      <c r="E178" s="0" t="n">
        <v>42.98</v>
      </c>
      <c r="F178" s="0" t="inlineStr">
        <is>
          <t>Taxa Incendio Ref.2024 01/0005</t>
        </is>
      </c>
      <c r="G178" s="0" t="inlineStr">
        <is>
          <t>LUIZ EDUARDO NOGUEIRA SORAGGI</t>
        </is>
      </c>
      <c r="H178" s="0" t="inlineStr">
        <is>
          <t>Rua Do Rosário N. 112 / 3º Andar (178 4/9)</t>
        </is>
      </c>
      <c r="I178" s="0" t="inlineStr">
        <is>
          <t>Taxa Incêndio</t>
        </is>
      </c>
    </row>
    <row r="179">
      <c r="A179" s="0" t="n">
        <v>131</v>
      </c>
      <c r="B179" s="0" t="inlineStr">
        <is>
          <t>30/05/2025</t>
        </is>
      </c>
      <c r="C179" s="0" t="inlineStr">
        <is>
          <t>Outros Passivos:Adibras - Transitória de passivos</t>
        </is>
      </c>
      <c r="D179" s="0" t="n"/>
      <c r="E179" s="0" t="n">
        <v>225</v>
      </c>
      <c r="F179" s="0" t="inlineStr">
        <is>
          <t>Condominio  02/2025</t>
        </is>
      </c>
      <c r="G179" s="0" t="inlineStr">
        <is>
          <t>JR BAZAR E MATERIAIS DE CONTRU</t>
        </is>
      </c>
      <c r="H179" s="0" t="inlineStr">
        <is>
          <t>R DAS MARRECAS,29 LOJA  A</t>
        </is>
      </c>
      <c r="I179" s="0" t="inlineStr">
        <is>
          <t>Condomínio</t>
        </is>
      </c>
    </row>
    <row r="180">
      <c r="A180" s="0" t="n">
        <v>131</v>
      </c>
      <c r="B180" s="0" t="inlineStr">
        <is>
          <t>30/05/2025</t>
        </is>
      </c>
      <c r="C180" s="0" t="inlineStr">
        <is>
          <t>Outros Passivos:Adibras - Transitória de passivos</t>
        </is>
      </c>
      <c r="D180" s="0" t="n"/>
      <c r="E180" s="0" t="n">
        <v>988.5</v>
      </c>
      <c r="F180" s="0" t="inlineStr">
        <is>
          <t>Imp.Predial(IPTU)  01/0010</t>
        </is>
      </c>
      <c r="G180" s="0" t="inlineStr">
        <is>
          <t>JR BAZAR E MATERIAIS DE CONTRU</t>
        </is>
      </c>
      <c r="H180" s="0" t="inlineStr">
        <is>
          <t>R DAS MARRECAS,29 LOJA  A</t>
        </is>
      </c>
      <c r="I180" s="0" t="inlineStr">
        <is>
          <t>IPTU</t>
        </is>
      </c>
    </row>
    <row r="181">
      <c r="A181" s="0" t="n">
        <v>131</v>
      </c>
      <c r="B181" s="0" t="inlineStr">
        <is>
          <t>30/05/2025</t>
        </is>
      </c>
      <c r="C181" s="0" t="inlineStr">
        <is>
          <t>Outros Passivos:Adibras - Transitória de passivos</t>
        </is>
      </c>
      <c r="D181" s="0" t="n"/>
      <c r="E181" s="0" t="n">
        <v>93.83</v>
      </c>
      <c r="F181" s="0" t="inlineStr">
        <is>
          <t>Taxa Incendio Ref.2024 01/0005</t>
        </is>
      </c>
      <c r="G181" s="0" t="inlineStr">
        <is>
          <t>JR BAZAR E MATERIAIS DE CONTRU</t>
        </is>
      </c>
      <c r="H181" s="0" t="inlineStr">
        <is>
          <t>R DAS MARRECAS,29 LOJA  A</t>
        </is>
      </c>
      <c r="I181" s="0" t="inlineStr">
        <is>
          <t>Taxa Incêndio</t>
        </is>
      </c>
    </row>
    <row r="182">
      <c r="A182" s="0" t="n">
        <v>131</v>
      </c>
      <c r="B182" s="0" t="inlineStr">
        <is>
          <t>30/05/2025</t>
        </is>
      </c>
      <c r="C182" s="0" t="inlineStr">
        <is>
          <t>Outros Passivos:Adibras - Transitória de passivos</t>
        </is>
      </c>
      <c r="D182" s="0" t="n"/>
      <c r="E182" s="0" t="n">
        <v>256.74</v>
      </c>
      <c r="F182" s="0" t="inlineStr">
        <is>
          <t>Agua e Esgoto  11/2024</t>
        </is>
      </c>
      <c r="G182" s="0" t="inlineStr">
        <is>
          <t>JR BAZAR E MATERIAIS DE CONTRU</t>
        </is>
      </c>
      <c r="H182" s="0" t="inlineStr">
        <is>
          <t>R DAS MARRECAS,29 LOJA  A</t>
        </is>
      </c>
      <c r="I182" s="0" t="inlineStr">
        <is>
          <t>Água e Esgoto</t>
        </is>
      </c>
    </row>
    <row r="183">
      <c r="A183" s="0" t="n">
        <v>131</v>
      </c>
      <c r="B183" s="0" t="inlineStr">
        <is>
          <t>30/05/2025</t>
        </is>
      </c>
      <c r="C183" s="0" t="inlineStr">
        <is>
          <t>Adibras - Transitória de ativos</t>
        </is>
      </c>
      <c r="D183" s="0" t="n">
        <v>1042.14</v>
      </c>
      <c r="E183" s="0" t="n"/>
      <c r="F183" s="0" t="inlineStr">
        <is>
          <t>Condominio  02/2025</t>
        </is>
      </c>
      <c r="G183" s="0" t="inlineStr">
        <is>
          <t>ROBERTO DE BAERE NAEGELI</t>
        </is>
      </c>
      <c r="H183" s="0" t="inlineStr">
        <is>
          <t>Rua Da Passagem N. 83 / Sala 405 (130 1/1)</t>
        </is>
      </c>
      <c r="I183" s="0" t="inlineStr">
        <is>
          <t>Condomínio</t>
        </is>
      </c>
    </row>
    <row r="184">
      <c r="A184" s="0" t="n">
        <v>131</v>
      </c>
      <c r="B184" s="0" t="inlineStr">
        <is>
          <t>30/05/2025</t>
        </is>
      </c>
      <c r="C184" s="0" t="inlineStr">
        <is>
          <t>Adibras - Transitória de ativos</t>
        </is>
      </c>
      <c r="D184" s="0" t="n">
        <v>200.4</v>
      </c>
      <c r="E184" s="0" t="n"/>
      <c r="F184" s="0" t="inlineStr">
        <is>
          <t>Imp.Predial(IPTU)  01/0010</t>
        </is>
      </c>
      <c r="G184" s="0" t="inlineStr">
        <is>
          <t>ROBERTO DE BAERE NAEGELI</t>
        </is>
      </c>
      <c r="H184" s="0" t="inlineStr">
        <is>
          <t>Rua Da Passagem N. 83 / Sala 405 (130 1/1)</t>
        </is>
      </c>
      <c r="I184" s="0" t="inlineStr">
        <is>
          <t>IPTU</t>
        </is>
      </c>
    </row>
    <row r="185">
      <c r="A185" s="0" t="n">
        <v>131</v>
      </c>
      <c r="B185" s="0" t="inlineStr">
        <is>
          <t>30/05/2025</t>
        </is>
      </c>
      <c r="C185" s="0" t="inlineStr">
        <is>
          <t>Adibras - Transitória de ativos</t>
        </is>
      </c>
      <c r="D185" s="0" t="n">
        <v>69.75</v>
      </c>
      <c r="E185" s="0" t="n"/>
      <c r="F185" s="0" t="inlineStr">
        <is>
          <t>Taxa Incendio Ref.2024(9 Meses e 24 Dias0 01/0001</t>
        </is>
      </c>
      <c r="G185" s="0" t="inlineStr">
        <is>
          <t>ROBERTO DE BAERE NAEGELI</t>
        </is>
      </c>
      <c r="H185" s="0" t="inlineStr">
        <is>
          <t>Rua Da Passagem N. 83 / Sala 405 (130 1/1)</t>
        </is>
      </c>
      <c r="I185" s="0" t="inlineStr">
        <is>
          <t>Taxa Incêndio</t>
        </is>
      </c>
    </row>
    <row r="186">
      <c r="A186" s="0" t="n">
        <v>131</v>
      </c>
      <c r="B186" s="0" t="inlineStr">
        <is>
          <t>30/05/2025</t>
        </is>
      </c>
      <c r="C186" s="0" t="inlineStr">
        <is>
          <t>Adibras - Transitória de ativos</t>
        </is>
      </c>
      <c r="D186" s="0" t="n">
        <v>660</v>
      </c>
      <c r="E186" s="0" t="n"/>
      <c r="F186" s="0" t="inlineStr">
        <is>
          <t>Condominio  02/2025</t>
        </is>
      </c>
      <c r="G186" s="0" t="inlineStr">
        <is>
          <t>LUIZ EDUARDO NOGUEIRA SORAGGI</t>
        </is>
      </c>
      <c r="H186" s="0" t="inlineStr">
        <is>
          <t>Rua Do Rosário N. 112 / 3º Andar (178 4/9)</t>
        </is>
      </c>
      <c r="I186" s="0" t="inlineStr">
        <is>
          <t>Condomínio</t>
        </is>
      </c>
    </row>
    <row r="187">
      <c r="A187" s="0" t="n">
        <v>131</v>
      </c>
      <c r="B187" s="0" t="inlineStr">
        <is>
          <t>30/05/2025</t>
        </is>
      </c>
      <c r="C187" s="0" t="inlineStr">
        <is>
          <t>Adibras - Transitória de ativos</t>
        </is>
      </c>
      <c r="D187" s="0" t="n">
        <v>315.06</v>
      </c>
      <c r="E187" s="0" t="n"/>
      <c r="F187" s="0" t="inlineStr">
        <is>
          <t>Imp.Predial(IPTU)  01/0010</t>
        </is>
      </c>
      <c r="G187" s="0" t="inlineStr">
        <is>
          <t>LUIZ EDUARDO NOGUEIRA SORAGGI</t>
        </is>
      </c>
      <c r="H187" s="0" t="inlineStr">
        <is>
          <t>Rua Do Rosário N. 112 / 3º Andar (178 4/9)</t>
        </is>
      </c>
      <c r="I187" s="0" t="inlineStr">
        <is>
          <t>IPTU</t>
        </is>
      </c>
    </row>
    <row r="188">
      <c r="A188" s="0" t="n">
        <v>131</v>
      </c>
      <c r="B188" s="0" t="inlineStr">
        <is>
          <t>30/05/2025</t>
        </is>
      </c>
      <c r="C188" s="0" t="inlineStr">
        <is>
          <t>Adibras - Transitória de ativos</t>
        </is>
      </c>
      <c r="D188" s="0" t="n">
        <v>15.99</v>
      </c>
      <c r="E188" s="0" t="n"/>
      <c r="F188" s="0" t="inlineStr">
        <is>
          <t>Seguro C/Fogo Ref.2024/2025 05/0006</t>
        </is>
      </c>
      <c r="G188" s="0" t="inlineStr">
        <is>
          <t>LUIZ EDUARDO NOGUEIRA SORAGGI</t>
        </is>
      </c>
      <c r="H188" s="0" t="inlineStr">
        <is>
          <t>Rua Do Rosário N. 112 / 3º Andar (178 4/9)</t>
        </is>
      </c>
      <c r="I188" s="0" t="inlineStr">
        <is>
          <t>Seguro</t>
        </is>
      </c>
    </row>
    <row r="189">
      <c r="A189" s="0" t="n">
        <v>131</v>
      </c>
      <c r="B189" s="0" t="inlineStr">
        <is>
          <t>30/05/2025</t>
        </is>
      </c>
      <c r="C189" s="0" t="inlineStr">
        <is>
          <t>Adibras - Transitória de ativos</t>
        </is>
      </c>
      <c r="D189" s="0" t="n">
        <v>42.98</v>
      </c>
      <c r="E189" s="0" t="n"/>
      <c r="F189" s="0" t="inlineStr">
        <is>
          <t>Taxa Incendio Ref.2024 01/0005</t>
        </is>
      </c>
      <c r="G189" s="0" t="inlineStr">
        <is>
          <t>LUIZ EDUARDO NOGUEIRA SORAGGI</t>
        </is>
      </c>
      <c r="H189" s="0" t="inlineStr">
        <is>
          <t>Rua Do Rosário N. 112 / 3º Andar (178 4/9)</t>
        </is>
      </c>
      <c r="I189" s="0" t="inlineStr">
        <is>
          <t>Taxa Incêndio</t>
        </is>
      </c>
    </row>
    <row r="190">
      <c r="A190" s="0" t="n">
        <v>131</v>
      </c>
      <c r="B190" s="0" t="inlineStr">
        <is>
          <t>30/05/2025</t>
        </is>
      </c>
      <c r="C190" s="0" t="inlineStr">
        <is>
          <t>Adibras - Transitória de ativos</t>
        </is>
      </c>
      <c r="D190" s="0" t="n">
        <v>225</v>
      </c>
      <c r="E190" s="0" t="n"/>
      <c r="F190" s="0" t="inlineStr">
        <is>
          <t>Condominio  02/2025</t>
        </is>
      </c>
      <c r="G190" s="0" t="inlineStr">
        <is>
          <t>JR BAZAR E MATERIAIS DE CONTRU</t>
        </is>
      </c>
      <c r="H190" s="0" t="inlineStr">
        <is>
          <t>R DAS MARRECAS,29 LOJA  A</t>
        </is>
      </c>
      <c r="I190" s="0" t="inlineStr">
        <is>
          <t>Condomínio</t>
        </is>
      </c>
    </row>
    <row r="191">
      <c r="A191" s="0" t="n">
        <v>131</v>
      </c>
      <c r="B191" s="0" t="inlineStr">
        <is>
          <t>30/05/2025</t>
        </is>
      </c>
      <c r="C191" s="0" t="inlineStr">
        <is>
          <t>Adibras - Transitória de ativos</t>
        </is>
      </c>
      <c r="D191" s="0" t="n">
        <v>988.5</v>
      </c>
      <c r="E191" s="0" t="n"/>
      <c r="F191" s="0" t="inlineStr">
        <is>
          <t>Imp.Predial(IPTU)  01/0010</t>
        </is>
      </c>
      <c r="G191" s="0" t="inlineStr">
        <is>
          <t>JR BAZAR E MATERIAIS DE CONTRU</t>
        </is>
      </c>
      <c r="H191" s="0" t="inlineStr">
        <is>
          <t>R DAS MARRECAS,29 LOJA  A</t>
        </is>
      </c>
      <c r="I191" s="0" t="inlineStr">
        <is>
          <t>IPTU</t>
        </is>
      </c>
    </row>
    <row r="192">
      <c r="A192" s="0" t="n">
        <v>131</v>
      </c>
      <c r="B192" s="0" t="inlineStr">
        <is>
          <t>30/05/2025</t>
        </is>
      </c>
      <c r="C192" s="0" t="inlineStr">
        <is>
          <t>Adibras - Transitória de ativos</t>
        </is>
      </c>
      <c r="D192" s="0" t="n">
        <v>93.83</v>
      </c>
      <c r="E192" s="0" t="n"/>
      <c r="F192" s="0" t="inlineStr">
        <is>
          <t>Taxa Incendio Ref.2024 01/0005</t>
        </is>
      </c>
      <c r="G192" s="0" t="inlineStr">
        <is>
          <t>JR BAZAR E MATERIAIS DE CONTRU</t>
        </is>
      </c>
      <c r="H192" s="0" t="inlineStr">
        <is>
          <t>R DAS MARRECAS,29 LOJA  A</t>
        </is>
      </c>
      <c r="I192" s="0" t="inlineStr">
        <is>
          <t>Taxa Incêndio</t>
        </is>
      </c>
    </row>
    <row r="193">
      <c r="A193" s="0" t="n">
        <v>131</v>
      </c>
      <c r="B193" s="0" t="inlineStr">
        <is>
          <t>30/05/2025</t>
        </is>
      </c>
      <c r="C193" s="0" t="inlineStr">
        <is>
          <t>Adibras - Transitória de ativos</t>
        </is>
      </c>
      <c r="D193" s="0" t="n">
        <v>256.74</v>
      </c>
      <c r="E193" s="0" t="n"/>
      <c r="F193" s="0" t="inlineStr">
        <is>
          <t>Agua e Esgoto  11/2024</t>
        </is>
      </c>
      <c r="G193" s="0" t="inlineStr">
        <is>
          <t>JR BAZAR E MATERIAIS DE CONTRU</t>
        </is>
      </c>
      <c r="H193" s="0" t="inlineStr">
        <is>
          <t>R DAS MARRECAS,29 LOJA  A</t>
        </is>
      </c>
      <c r="I193" s="0" t="inlineStr">
        <is>
          <t>Água e Esgoto</t>
        </is>
      </c>
    </row>
    <row r="194">
      <c r="A194" s="0" t="n">
        <v>132</v>
      </c>
      <c r="B194" s="0" t="inlineStr">
        <is>
          <t>31/05/2025</t>
        </is>
      </c>
      <c r="C194" s="0" t="inlineStr">
        <is>
          <t>Outros Passivos:Adibras - Transitória de passivos</t>
        </is>
      </c>
      <c r="D194" s="0" t="n"/>
      <c r="E194" s="0" t="n">
        <v>2601.5</v>
      </c>
      <c r="F194" s="0" t="inlineStr">
        <is>
          <t>Imp.Predial(IPTU)  01/0010</t>
        </is>
      </c>
      <c r="G194" s="0" t="inlineStr">
        <is>
          <t>WESLEY FALK</t>
        </is>
      </c>
      <c r="H194" s="0" t="inlineStr">
        <is>
          <t>Praça Mauá N. 15 / 2º, 3º E 4º  Andares (134 2/2)</t>
        </is>
      </c>
      <c r="I194" s="0" t="inlineStr">
        <is>
          <t>IPTU</t>
        </is>
      </c>
    </row>
    <row r="195">
      <c r="A195" s="0" t="n">
        <v>132</v>
      </c>
      <c r="B195" s="0" t="inlineStr">
        <is>
          <t>31/05/2025</t>
        </is>
      </c>
      <c r="C195" s="0" t="inlineStr">
        <is>
          <t>Outros Passivos:Adibras - Transitória de passivos</t>
        </is>
      </c>
      <c r="D195" s="0" t="n"/>
      <c r="E195" s="0" t="n">
        <v>355.56</v>
      </c>
      <c r="F195" s="0" t="inlineStr">
        <is>
          <t>Seguro C/Fogo 2024/2025 03/0004</t>
        </is>
      </c>
      <c r="G195" s="0" t="inlineStr">
        <is>
          <t>WESLEY FALK</t>
        </is>
      </c>
      <c r="H195" s="0" t="inlineStr">
        <is>
          <t>Praça Mauá N. 15 / 2º, 3º E 4º  Andares (134 2/2)</t>
        </is>
      </c>
      <c r="I195" s="0" t="inlineStr">
        <is>
          <t>Seguro</t>
        </is>
      </c>
    </row>
    <row r="196">
      <c r="A196" s="0" t="n">
        <v>132</v>
      </c>
      <c r="B196" s="0" t="inlineStr">
        <is>
          <t>31/05/2025</t>
        </is>
      </c>
      <c r="C196" s="0" t="inlineStr">
        <is>
          <t>Outros Passivos:Adibras - Transitória de passivos</t>
        </is>
      </c>
      <c r="D196" s="0" t="n"/>
      <c r="E196" s="0" t="n">
        <v>426.43</v>
      </c>
      <c r="F196" s="0" t="inlineStr">
        <is>
          <t>Taxa Incendio Ref.2024 01/0005</t>
        </is>
      </c>
      <c r="G196" s="0" t="inlineStr">
        <is>
          <t>WESLEY FALK</t>
        </is>
      </c>
      <c r="H196" s="0" t="inlineStr">
        <is>
          <t>Praça Mauá N. 15 / 2º, 3º E 4º  Andares (134 2/2)</t>
        </is>
      </c>
      <c r="I196" s="0" t="inlineStr">
        <is>
          <t>Taxa Incêndio</t>
        </is>
      </c>
    </row>
    <row r="197">
      <c r="A197" s="0" t="n">
        <v>132</v>
      </c>
      <c r="B197" s="0" t="inlineStr">
        <is>
          <t>31/05/2025</t>
        </is>
      </c>
      <c r="C197" s="0" t="inlineStr">
        <is>
          <t>Outros Passivos:Adibras - Transitória de passivos</t>
        </is>
      </c>
      <c r="D197" s="0" t="n"/>
      <c r="E197" s="0" t="n">
        <v>1514.67</v>
      </c>
      <c r="F197" s="0" t="inlineStr">
        <is>
          <t>Agua e Esgoto  10/2024</t>
        </is>
      </c>
      <c r="G197" s="0" t="inlineStr">
        <is>
          <t>HOUSE DOM MANUEL CAFETERIA LTD</t>
        </is>
      </c>
      <c r="H197" s="0" t="inlineStr">
        <is>
          <t>Rua Pedro I N. 14 / Loja (171 1/2)</t>
        </is>
      </c>
      <c r="I197" s="0" t="inlineStr">
        <is>
          <t>Água e Esgoto</t>
        </is>
      </c>
    </row>
    <row r="198">
      <c r="A198" s="0" t="n">
        <v>132</v>
      </c>
      <c r="B198" s="0" t="inlineStr">
        <is>
          <t>31/05/2025</t>
        </is>
      </c>
      <c r="C198" s="0" t="inlineStr">
        <is>
          <t>Outros Passivos:Adibras - Transitória de passivos</t>
        </is>
      </c>
      <c r="D198" s="0" t="n"/>
      <c r="E198" s="0" t="n">
        <v>364.91</v>
      </c>
      <c r="F198" s="0" t="inlineStr">
        <is>
          <t>Condominio  02/2025</t>
        </is>
      </c>
      <c r="G198" s="0" t="inlineStr">
        <is>
          <t>ERICK RIBEIRO DA SILVA</t>
        </is>
      </c>
      <c r="H198" s="0" t="inlineStr">
        <is>
          <t>R SANTOS TITARA,159/101 FTE</t>
        </is>
      </c>
      <c r="I198" s="0" t="inlineStr">
        <is>
          <t>Condomínio</t>
        </is>
      </c>
    </row>
    <row r="199">
      <c r="A199" s="0" t="n">
        <v>132</v>
      </c>
      <c r="B199" s="0" t="inlineStr">
        <is>
          <t>31/05/2025</t>
        </is>
      </c>
      <c r="C199" s="0" t="inlineStr">
        <is>
          <t>Outros Passivos:Adibras - Transitória de passivos</t>
        </is>
      </c>
      <c r="D199" s="0" t="n"/>
      <c r="E199" s="0" t="n">
        <v>64.05</v>
      </c>
      <c r="F199" s="0" t="inlineStr">
        <is>
          <t>Imp.Predial(IPTU)  01/0010</t>
        </is>
      </c>
      <c r="G199" s="0" t="inlineStr">
        <is>
          <t>ERICK RIBEIRO DA SILVA</t>
        </is>
      </c>
      <c r="H199" s="0" t="inlineStr">
        <is>
          <t>R SANTOS TITARA,159/101 FTE</t>
        </is>
      </c>
      <c r="I199" s="0" t="inlineStr">
        <is>
          <t>IPTU</t>
        </is>
      </c>
    </row>
    <row r="200">
      <c r="A200" s="0" t="n">
        <v>132</v>
      </c>
      <c r="B200" s="0" t="inlineStr">
        <is>
          <t>31/05/2025</t>
        </is>
      </c>
      <c r="C200" s="0" t="inlineStr">
        <is>
          <t>Outros Passivos:Adibras - Transitória de passivos</t>
        </is>
      </c>
      <c r="D200" s="0" t="n"/>
      <c r="E200" s="0" t="n">
        <v>53.29</v>
      </c>
      <c r="F200" s="0" t="inlineStr">
        <is>
          <t>Taxa Incendio Ref.2024 01/0001</t>
        </is>
      </c>
      <c r="G200" s="0" t="inlineStr">
        <is>
          <t>ERICK RIBEIRO DA SILVA</t>
        </is>
      </c>
      <c r="H200" s="0" t="inlineStr">
        <is>
          <t>R SANTOS TITARA,159/101 FTE</t>
        </is>
      </c>
      <c r="I200" s="0" t="inlineStr">
        <is>
          <t>Taxa Incêndio</t>
        </is>
      </c>
    </row>
    <row r="201">
      <c r="A201" s="0" t="n">
        <v>132</v>
      </c>
      <c r="B201" s="0" t="inlineStr">
        <is>
          <t>31/05/2025</t>
        </is>
      </c>
      <c r="C201" s="0" t="inlineStr">
        <is>
          <t>Outros Passivos:Adibras - Transitória de passivos</t>
        </is>
      </c>
      <c r="D201" s="0" t="n"/>
      <c r="E201" s="0" t="n">
        <v>128.4</v>
      </c>
      <c r="F201" s="0" t="inlineStr">
        <is>
          <t>Condominio  02/2025</t>
        </is>
      </c>
      <c r="G201" s="0" t="inlineStr">
        <is>
          <t>BAR E LANCHONETE PH LTDA</t>
        </is>
      </c>
      <c r="H201" s="0" t="inlineStr">
        <is>
          <t>Rua Dos Inválidos N. 138  /  Loja I Do  Bloco I (152 1/2)</t>
        </is>
      </c>
      <c r="I201" s="0" t="inlineStr">
        <is>
          <t>Condomínio</t>
        </is>
      </c>
    </row>
    <row r="202">
      <c r="A202" s="0" t="n">
        <v>132</v>
      </c>
      <c r="B202" s="0" t="inlineStr">
        <is>
          <t>31/05/2025</t>
        </is>
      </c>
      <c r="C202" s="0" t="inlineStr">
        <is>
          <t>Outros Passivos:Adibras - Transitória de passivos</t>
        </is>
      </c>
      <c r="D202" s="0" t="n"/>
      <c r="E202" s="0" t="n">
        <v>142.95</v>
      </c>
      <c r="F202" s="0" t="inlineStr">
        <is>
          <t>Imp.Predial(IPTU)  01/0010</t>
        </is>
      </c>
      <c r="G202" s="0" t="inlineStr">
        <is>
          <t>BAR E LANCHONETE PH LTDA</t>
        </is>
      </c>
      <c r="H202" s="0" t="inlineStr">
        <is>
          <t>Rua Dos Inválidos N. 138  /  Loja I Do  Bloco I (152 1/2)</t>
        </is>
      </c>
      <c r="I202" s="0" t="inlineStr">
        <is>
          <t>IPTU</t>
        </is>
      </c>
    </row>
    <row r="203">
      <c r="A203" s="0" t="n">
        <v>132</v>
      </c>
      <c r="B203" s="0" t="inlineStr">
        <is>
          <t>31/05/2025</t>
        </is>
      </c>
      <c r="C203" s="0" t="inlineStr">
        <is>
          <t>Outros Passivos:Adibras - Transitória de passivos</t>
        </is>
      </c>
      <c r="D203" s="0" t="n"/>
      <c r="E203" s="0" t="n">
        <v>42.65</v>
      </c>
      <c r="F203" s="0" t="inlineStr">
        <is>
          <t>Taxa Incendio Ref.2024 01/0001</t>
        </is>
      </c>
      <c r="G203" s="0" t="inlineStr">
        <is>
          <t>BAR E LANCHONETE PH LTDA</t>
        </is>
      </c>
      <c r="H203" s="0" t="inlineStr">
        <is>
          <t>Rua Dos Inválidos N. 138  /  Loja I Do  Bloco I (152 1/2)</t>
        </is>
      </c>
      <c r="I203" s="0" t="inlineStr">
        <is>
          <t>Taxa Incêndio</t>
        </is>
      </c>
    </row>
    <row r="204">
      <c r="A204" s="0" t="n">
        <v>132</v>
      </c>
      <c r="B204" s="0" t="inlineStr">
        <is>
          <t>31/05/2025</t>
        </is>
      </c>
      <c r="C204" s="0" t="inlineStr">
        <is>
          <t>Outros Passivos:Adibras - Transitória de passivos</t>
        </is>
      </c>
      <c r="D204" s="0" t="n"/>
      <c r="E204" s="0" t="n">
        <v>0.65</v>
      </c>
      <c r="F204" s="0" t="inlineStr">
        <is>
          <t>Dif. Condominio  01/2025</t>
        </is>
      </c>
      <c r="G204" s="0" t="inlineStr">
        <is>
          <t>BAR E LANCHONETE PH LTDA</t>
        </is>
      </c>
      <c r="H204" s="0" t="inlineStr">
        <is>
          <t>Rua Dos Inválidos N. 138  /  Loja I Do  Bloco I (152 1/2)</t>
        </is>
      </c>
      <c r="I204" s="0" t="inlineStr">
        <is>
          <t>Condomínio</t>
        </is>
      </c>
    </row>
    <row r="205">
      <c r="A205" s="0" t="n">
        <v>132</v>
      </c>
      <c r="B205" s="0" t="inlineStr">
        <is>
          <t>31/05/2025</t>
        </is>
      </c>
      <c r="C205" s="0" t="inlineStr">
        <is>
          <t>Outros Passivos:Adibras - Transitória de passivos</t>
        </is>
      </c>
      <c r="D205" s="0" t="n"/>
      <c r="E205" s="0" t="n">
        <v>31.98</v>
      </c>
      <c r="F205" s="0" t="inlineStr">
        <is>
          <t>Taxa Incendio Ref.2024(25%) 01/0005</t>
        </is>
      </c>
      <c r="G205" s="0" t="inlineStr">
        <is>
          <t>STUDIO DE DANCA FLAVIO MARQUES</t>
        </is>
      </c>
      <c r="H205" s="0" t="inlineStr">
        <is>
          <t>Rua Miguel Couto N. 143 / 2º Andar (121 3/3)</t>
        </is>
      </c>
      <c r="I205" s="0" t="inlineStr">
        <is>
          <t>Taxa Incêndio</t>
        </is>
      </c>
    </row>
    <row r="206">
      <c r="A206" s="0" t="n">
        <v>132</v>
      </c>
      <c r="B206" s="0" t="inlineStr">
        <is>
          <t>31/05/2025</t>
        </is>
      </c>
      <c r="C206" s="0" t="inlineStr">
        <is>
          <t>Outros Passivos:Adibras - Transitória de passivos</t>
        </is>
      </c>
      <c r="D206" s="0" t="n"/>
      <c r="E206" s="0" t="n">
        <v>25.62</v>
      </c>
      <c r="F206" s="0" t="inlineStr">
        <is>
          <t>Agua e Esgoto  12/2024</t>
        </is>
      </c>
      <c r="G206" s="0" t="inlineStr">
        <is>
          <t>STUDIO DE DANCA FLAVIO MARQUES</t>
        </is>
      </c>
      <c r="H206" s="0" t="inlineStr">
        <is>
          <t>Rua Miguel Couto N. 143 / 2º Andar (121 3/3)</t>
        </is>
      </c>
      <c r="I206" s="0" t="inlineStr">
        <is>
          <t>Água e Esgoto</t>
        </is>
      </c>
    </row>
    <row r="207">
      <c r="A207" s="0" t="n">
        <v>132</v>
      </c>
      <c r="B207" s="0" t="inlineStr">
        <is>
          <t>31/05/2025</t>
        </is>
      </c>
      <c r="C207" s="0" t="inlineStr">
        <is>
          <t>Outros Passivos:Adibras - Transitória de passivos</t>
        </is>
      </c>
      <c r="D207" s="0" t="n"/>
      <c r="E207" s="0" t="n">
        <v>115.34</v>
      </c>
      <c r="F207" s="0" t="inlineStr">
        <is>
          <t>Seguro C/Fogo Ref.2024/2025(30%) 06/0006</t>
        </is>
      </c>
      <c r="G207" s="0" t="inlineStr">
        <is>
          <t>SOUZA LOPES PROD.ALIMENTICIOS</t>
        </is>
      </c>
      <c r="H207" s="0" t="inlineStr">
        <is>
          <t>R MIGUEL COUTO, 143 LJA</t>
        </is>
      </c>
      <c r="I207" s="0" t="inlineStr">
        <is>
          <t>Seguro</t>
        </is>
      </c>
    </row>
    <row r="208">
      <c r="A208" s="0" t="n">
        <v>132</v>
      </c>
      <c r="B208" s="0" t="inlineStr">
        <is>
          <t>31/05/2025</t>
        </is>
      </c>
      <c r="C208" s="0" t="inlineStr">
        <is>
          <t>Outros Passivos:Adibras - Transitória de passivos</t>
        </is>
      </c>
      <c r="D208" s="0" t="n"/>
      <c r="E208" s="0" t="n">
        <v>63.97</v>
      </c>
      <c r="F208" s="0" t="inlineStr">
        <is>
          <t>Taxa Incendio Ref.2024(30% de 50%) 01/0005</t>
        </is>
      </c>
      <c r="G208" s="0" t="inlineStr">
        <is>
          <t>SOUZA LOPES PROD.ALIMENTICIOS</t>
        </is>
      </c>
      <c r="H208" s="0" t="inlineStr">
        <is>
          <t>R MIGUEL COUTO, 143 LJA</t>
        </is>
      </c>
      <c r="I208" s="0" t="inlineStr">
        <is>
          <t>Taxa Incêndio</t>
        </is>
      </c>
    </row>
    <row r="209">
      <c r="A209" s="0" t="n">
        <v>132</v>
      </c>
      <c r="B209" s="0" t="inlineStr">
        <is>
          <t>31/05/2025</t>
        </is>
      </c>
      <c r="C209" s="0" t="inlineStr">
        <is>
          <t>Outros Passivos:Adibras - Transitória de passivos</t>
        </is>
      </c>
      <c r="D209" s="0" t="n"/>
      <c r="E209" s="0" t="n">
        <v>153.73</v>
      </c>
      <c r="F209" s="0" t="inlineStr">
        <is>
          <t>Agua e Esgoto  12/2024</t>
        </is>
      </c>
      <c r="G209" s="0" t="inlineStr">
        <is>
          <t>SOUZA LOPES PROD.ALIMENTICIOS</t>
        </is>
      </c>
      <c r="H209" s="0" t="inlineStr">
        <is>
          <t>R MIGUEL COUTO, 143 LJA</t>
        </is>
      </c>
      <c r="I209" s="0" t="inlineStr">
        <is>
          <t>Água e Esgoto</t>
        </is>
      </c>
    </row>
    <row r="210">
      <c r="A210" s="0" t="n">
        <v>132</v>
      </c>
      <c r="B210" s="0" t="inlineStr">
        <is>
          <t>31/05/2025</t>
        </is>
      </c>
      <c r="C210" s="0" t="inlineStr">
        <is>
          <t>Outros Passivos:Adibras - Transitória de passivos</t>
        </is>
      </c>
      <c r="D210" s="0" t="n"/>
      <c r="E210" s="0" t="n">
        <v>1531.33</v>
      </c>
      <c r="F210" s="0" t="inlineStr">
        <is>
          <t>Condominio  02/2025</t>
        </is>
      </c>
      <c r="G210" s="0" t="inlineStr">
        <is>
          <t>JULIANA DEGANI COUTINHO</t>
        </is>
      </c>
      <c r="H210" s="0" t="inlineStr">
        <is>
          <t>Rua Dr. Paulo Fróes Machado N. 95 - Loja - Nova Iguaçu (193 1/1)</t>
        </is>
      </c>
      <c r="I210" s="0" t="inlineStr">
        <is>
          <t>Condomínio</t>
        </is>
      </c>
    </row>
    <row r="211">
      <c r="A211" s="0" t="n">
        <v>132</v>
      </c>
      <c r="B211" s="0" t="inlineStr">
        <is>
          <t>31/05/2025</t>
        </is>
      </c>
      <c r="C211" s="0" t="inlineStr">
        <is>
          <t>Outros Passivos:Adibras - Transitória de passivos</t>
        </is>
      </c>
      <c r="D211" s="0" t="n"/>
      <c r="E211" s="0" t="n">
        <v>495.39</v>
      </c>
      <c r="F211" s="0" t="inlineStr">
        <is>
          <t>Imp.Predial(IPTU) Ref.2025 01/0010</t>
        </is>
      </c>
      <c r="G211" s="0" t="inlineStr">
        <is>
          <t>JULIANA DEGANI COUTINHO</t>
        </is>
      </c>
      <c r="H211" s="0" t="inlineStr">
        <is>
          <t>Rua Dr. Paulo Fróes Machado N. 95 - Loja - Nova Iguaçu (193 1/1)</t>
        </is>
      </c>
      <c r="I211" s="0" t="inlineStr">
        <is>
          <t>IPTU</t>
        </is>
      </c>
    </row>
    <row r="212">
      <c r="A212" s="0" t="n">
        <v>132</v>
      </c>
      <c r="B212" s="0" t="inlineStr">
        <is>
          <t>31/05/2025</t>
        </is>
      </c>
      <c r="C212" s="0" t="inlineStr">
        <is>
          <t>Outros Passivos:Adibras - Transitória de passivos</t>
        </is>
      </c>
      <c r="D212" s="0" t="n"/>
      <c r="E212" s="0" t="n">
        <v>143.27</v>
      </c>
      <c r="F212" s="0" t="inlineStr">
        <is>
          <t>Taxa Incendio Ref.2024 01/0005</t>
        </is>
      </c>
      <c r="G212" s="0" t="inlineStr">
        <is>
          <t>JULIANA DEGANI COUTINHO</t>
        </is>
      </c>
      <c r="H212" s="0" t="inlineStr">
        <is>
          <t>Rua Dr. Paulo Fróes Machado N. 95 - Loja - Nova Iguaçu (193 1/1)</t>
        </is>
      </c>
      <c r="I212" s="0" t="inlineStr">
        <is>
          <t>Taxa Incêndio</t>
        </is>
      </c>
    </row>
    <row r="213">
      <c r="A213" s="0" t="n">
        <v>132</v>
      </c>
      <c r="B213" s="0" t="inlineStr">
        <is>
          <t>31/05/2025</t>
        </is>
      </c>
      <c r="C213" s="0" t="inlineStr">
        <is>
          <t>Outros Passivos:Adibras - Transitória de passivos</t>
        </is>
      </c>
      <c r="D213" s="0" t="n"/>
      <c r="E213" s="0" t="n">
        <v>1247.4</v>
      </c>
      <c r="F213" s="0" t="inlineStr">
        <is>
          <t>Condominio  02/2025</t>
        </is>
      </c>
      <c r="G213" s="0" t="inlineStr">
        <is>
          <t>RIO DERME FARMÁCIA DE MANIPULA</t>
        </is>
      </c>
      <c r="H213" s="0" t="inlineStr">
        <is>
          <t>Rua Dr. Paulo Fróes Machado N. 105 - Loja - Nova Iguaçu (194 1/1)</t>
        </is>
      </c>
      <c r="I213" s="0" t="inlineStr">
        <is>
          <t>Condomínio</t>
        </is>
      </c>
    </row>
    <row r="214">
      <c r="A214" s="0" t="n">
        <v>132</v>
      </c>
      <c r="B214" s="0" t="inlineStr">
        <is>
          <t>31/05/2025</t>
        </is>
      </c>
      <c r="C214" s="0" t="inlineStr">
        <is>
          <t>Outros Passivos:Adibras - Transitória de passivos</t>
        </is>
      </c>
      <c r="D214" s="0" t="n"/>
      <c r="E214" s="0" t="n">
        <v>556.09</v>
      </c>
      <c r="F214" s="0" t="inlineStr">
        <is>
          <t>Imp.Predial(IPTU) Ref.2025 01/0010</t>
        </is>
      </c>
      <c r="G214" s="0" t="inlineStr">
        <is>
          <t>RIO DERME FARMÁCIA DE MANIPULA</t>
        </is>
      </c>
      <c r="H214" s="0" t="inlineStr">
        <is>
          <t>Rua Dr. Paulo Fróes Machado N. 105 - Loja - Nova Iguaçu (194 1/1)</t>
        </is>
      </c>
      <c r="I214" s="0" t="inlineStr">
        <is>
          <t>IPTU</t>
        </is>
      </c>
    </row>
    <row r="215">
      <c r="A215" s="0" t="n">
        <v>132</v>
      </c>
      <c r="B215" s="0" t="inlineStr">
        <is>
          <t>31/05/2025</t>
        </is>
      </c>
      <c r="C215" s="0" t="inlineStr">
        <is>
          <t>Outros Passivos:Adibras - Transitória de passivos</t>
        </is>
      </c>
      <c r="D215" s="0" t="n"/>
      <c r="E215" s="0" t="n">
        <v>187.65</v>
      </c>
      <c r="F215" s="0" t="inlineStr">
        <is>
          <t>Taxa Incendio Ref.2024 01/0005</t>
        </is>
      </c>
      <c r="G215" s="0" t="inlineStr">
        <is>
          <t>RIO DERME FARMÁCIA DE MANIPULA</t>
        </is>
      </c>
      <c r="H215" s="0" t="inlineStr">
        <is>
          <t>Rua Dr. Paulo Fróes Machado N. 105 - Loja - Nova Iguaçu (194 1/1)</t>
        </is>
      </c>
      <c r="I215" s="0" t="inlineStr">
        <is>
          <t>Taxa Incêndio</t>
        </is>
      </c>
    </row>
    <row r="216">
      <c r="A216" s="0" t="n">
        <v>132</v>
      </c>
      <c r="B216" s="0" t="inlineStr">
        <is>
          <t>31/05/2025</t>
        </is>
      </c>
      <c r="C216" s="0" t="inlineStr">
        <is>
          <t>Outros Passivos:Adibras - Transitória de passivos</t>
        </is>
      </c>
      <c r="D216" s="0" t="n"/>
      <c r="E216" s="0" t="n">
        <v>260.12</v>
      </c>
      <c r="F216" s="0" t="inlineStr">
        <is>
          <t>Imp.Predial(IPTU)  01/0010</t>
        </is>
      </c>
      <c r="G216" s="0" t="inlineStr">
        <is>
          <t>CENTRO DE FORM.DE CONDUT. LEBL</t>
        </is>
      </c>
      <c r="H216" s="0" t="inlineStr">
        <is>
          <t>Rua Do Acre N. 77 / Loja D (158 1/1)</t>
        </is>
      </c>
      <c r="I216" s="0" t="inlineStr">
        <is>
          <t>IPTU</t>
        </is>
      </c>
    </row>
    <row r="217">
      <c r="A217" s="0" t="n">
        <v>132</v>
      </c>
      <c r="B217" s="0" t="inlineStr">
        <is>
          <t>31/05/2025</t>
        </is>
      </c>
      <c r="C217" s="0" t="inlineStr">
        <is>
          <t>Outros Passivos:Adibras - Transitória de passivos</t>
        </is>
      </c>
      <c r="D217" s="0" t="n"/>
      <c r="E217" s="0" t="n">
        <v>32.24</v>
      </c>
      <c r="F217" s="0" t="inlineStr">
        <is>
          <t>Taxa Incendio Ref.2024 01/0005</t>
        </is>
      </c>
      <c r="G217" s="0" t="inlineStr">
        <is>
          <t>CENTRO DE FORM.DE CONDUT. LEBL</t>
        </is>
      </c>
      <c r="H217" s="0" t="inlineStr">
        <is>
          <t>Rua Do Acre N. 77 / Loja D (158 1/1)</t>
        </is>
      </c>
      <c r="I217" s="0" t="inlineStr">
        <is>
          <t>Taxa Incêndio</t>
        </is>
      </c>
    </row>
    <row r="218">
      <c r="A218" s="0" t="n">
        <v>132</v>
      </c>
      <c r="B218" s="0" t="inlineStr">
        <is>
          <t>31/05/2025</t>
        </is>
      </c>
      <c r="C218" s="0" t="inlineStr">
        <is>
          <t>Outros Passivos:Adibras - Transitória de passivos</t>
        </is>
      </c>
      <c r="D218" s="0" t="n"/>
      <c r="E218" s="0" t="n">
        <v>312.63</v>
      </c>
      <c r="F218" s="0" t="inlineStr">
        <is>
          <t>Seguro C/Fogo Ref.2024/2025 03/0006</t>
        </is>
      </c>
      <c r="G218" s="0" t="inlineStr">
        <is>
          <t>DUNA GRILL BAR E RESTAURANTE L</t>
        </is>
      </c>
      <c r="H218" s="0" t="inlineStr">
        <is>
          <t>Rua Evaristo Da Veiga N. 24 / Prédio (179 1/1)</t>
        </is>
      </c>
      <c r="I218" s="0" t="inlineStr">
        <is>
          <t>Seguro</t>
        </is>
      </c>
    </row>
    <row r="219">
      <c r="A219" s="0" t="n">
        <v>132</v>
      </c>
      <c r="B219" s="0" t="inlineStr">
        <is>
          <t>31/05/2025</t>
        </is>
      </c>
      <c r="C219" s="0" t="inlineStr">
        <is>
          <t>Outros Passivos:Adibras - Transitória de passivos</t>
        </is>
      </c>
      <c r="D219" s="0" t="n"/>
      <c r="E219" s="0" t="n">
        <v>1156.48</v>
      </c>
      <c r="F219" s="0" t="inlineStr">
        <is>
          <t>Iptu Divida Ativa Ref.2022 09/0048</t>
        </is>
      </c>
      <c r="G219" s="0" t="inlineStr">
        <is>
          <t>DUNA GRILL BAR E RESTAURANTE L</t>
        </is>
      </c>
      <c r="H219" s="0" t="inlineStr">
        <is>
          <t>Rua Evaristo Da Veiga N. 24 / Prédio (179 1/1)</t>
        </is>
      </c>
      <c r="I219" s="0" t="inlineStr">
        <is>
          <t>Dívida Ativa</t>
        </is>
      </c>
    </row>
    <row r="220">
      <c r="A220" s="0" t="n">
        <v>132</v>
      </c>
      <c r="B220" s="0" t="inlineStr">
        <is>
          <t>31/05/2025</t>
        </is>
      </c>
      <c r="C220" s="0" t="inlineStr">
        <is>
          <t>Outros Passivos:Adibras - Transitória de passivos</t>
        </is>
      </c>
      <c r="D220" s="0" t="n"/>
      <c r="E220" s="0" t="n">
        <v>2154.03</v>
      </c>
      <c r="F220" s="0" t="inlineStr">
        <is>
          <t>Iptu Divida Ativa Ref.2021+37/48 Ref.2020 22/0048</t>
        </is>
      </c>
      <c r="G220" s="0" t="inlineStr">
        <is>
          <t>DUNA GRILL BAR E RESTAURANTE L</t>
        </is>
      </c>
      <c r="H220" s="0" t="inlineStr">
        <is>
          <t>Rua Evaristo Da Veiga N. 24 / Prédio (179 1/1)</t>
        </is>
      </c>
      <c r="I220" s="0" t="inlineStr">
        <is>
          <t>Dívida Ativa</t>
        </is>
      </c>
    </row>
    <row r="221">
      <c r="A221" s="0" t="n">
        <v>132</v>
      </c>
      <c r="B221" s="0" t="inlineStr">
        <is>
          <t>31/05/2025</t>
        </is>
      </c>
      <c r="C221" s="0" t="inlineStr">
        <is>
          <t>Outros Passivos:Adibras - Transitória de passivos</t>
        </is>
      </c>
      <c r="D221" s="0" t="n"/>
      <c r="E221" s="0" t="n">
        <v>481.1</v>
      </c>
      <c r="F221" s="0" t="inlineStr">
        <is>
          <t>Imp.Predial(IPTU)  01/0010</t>
        </is>
      </c>
      <c r="G221" s="0" t="n"/>
      <c r="H221" s="0" t="inlineStr">
        <is>
          <t>Rua Sacadura Cabral N. 149 - Prédio (195 1/1)</t>
        </is>
      </c>
      <c r="I221" s="0" t="inlineStr">
        <is>
          <t>IPTU</t>
        </is>
      </c>
    </row>
    <row r="222">
      <c r="A222" s="0" t="n">
        <v>132</v>
      </c>
      <c r="B222" s="0" t="inlineStr">
        <is>
          <t>31/05/2025</t>
        </is>
      </c>
      <c r="C222" s="0" t="inlineStr">
        <is>
          <t>Outros Passivos:Adibras - Transitória de passivos</t>
        </is>
      </c>
      <c r="D222" s="0" t="n"/>
      <c r="E222" s="0" t="n">
        <v>121.07</v>
      </c>
      <c r="F222" s="0" t="inlineStr">
        <is>
          <t>Taxa Incendio Ref.2024(2 Meses e 13 Dias) 01/0001</t>
        </is>
      </c>
      <c r="G222" s="0" t="n"/>
      <c r="H222" s="0" t="inlineStr">
        <is>
          <t>Rua Sacadura Cabral N. 149 - Prédio (195 1/1)</t>
        </is>
      </c>
      <c r="I222" s="0" t="inlineStr">
        <is>
          <t>Taxa Incêndio</t>
        </is>
      </c>
    </row>
    <row r="223">
      <c r="A223" s="0" t="n">
        <v>132</v>
      </c>
      <c r="B223" s="0" t="inlineStr">
        <is>
          <t>31/05/2025</t>
        </is>
      </c>
      <c r="C223" s="0" t="inlineStr">
        <is>
          <t>Outros Passivos:Adibras - Transitória de passivos</t>
        </is>
      </c>
      <c r="D223" s="0" t="n"/>
      <c r="E223" s="0" t="n">
        <v>258.6</v>
      </c>
      <c r="F223" s="0" t="inlineStr">
        <is>
          <t>Seguro Fianca Ref.2024/2029 06/0060</t>
        </is>
      </c>
      <c r="G223" s="0" t="n"/>
      <c r="H223" s="0" t="inlineStr">
        <is>
          <t>Rua Sacadura Cabral N. 149 - Prédio (195 1/1)</t>
        </is>
      </c>
      <c r="I223" s="0" t="inlineStr">
        <is>
          <t>Seguro</t>
        </is>
      </c>
    </row>
    <row r="224">
      <c r="A224" s="0" t="n">
        <v>132</v>
      </c>
      <c r="B224" s="0" t="inlineStr">
        <is>
          <t>31/05/2025</t>
        </is>
      </c>
      <c r="C224" s="0" t="inlineStr">
        <is>
          <t>Outros Passivos:Adibras - Transitória de passivos</t>
        </is>
      </c>
      <c r="D224" s="0" t="n"/>
      <c r="E224" s="0" t="n">
        <v>219.31</v>
      </c>
      <c r="F224" s="0" t="inlineStr">
        <is>
          <t>Agua e Esgoto  10/2024</t>
        </is>
      </c>
      <c r="G224" s="0" t="inlineStr">
        <is>
          <t>MICHEL FALCAO ROSA E/OU</t>
        </is>
      </c>
      <c r="H224" s="0" t="inlineStr">
        <is>
          <t>Rua Da Alfândega N. 97 / Loja (187 1/2)</t>
        </is>
      </c>
      <c r="I224" s="0" t="inlineStr">
        <is>
          <t>Água e Esgoto</t>
        </is>
      </c>
    </row>
    <row r="225">
      <c r="A225" s="0" t="n">
        <v>132</v>
      </c>
      <c r="B225" s="0" t="inlineStr">
        <is>
          <t>31/05/2025</t>
        </is>
      </c>
      <c r="C225" s="0" t="inlineStr">
        <is>
          <t>Outros Passivos:Adibras - Transitória de passivos</t>
        </is>
      </c>
      <c r="D225" s="0" t="n"/>
      <c r="E225" s="0" t="n">
        <v>250.84</v>
      </c>
      <c r="F225" s="0" t="inlineStr">
        <is>
          <t>Iptu Divida Ativa 2020 38/0048</t>
        </is>
      </c>
      <c r="G225" s="0" t="inlineStr">
        <is>
          <t>MICHEL FALCAO ROSA E/OU</t>
        </is>
      </c>
      <c r="H225" s="0" t="inlineStr">
        <is>
          <t>Rua Da Alfândega N. 97 / Loja (187 1/2)</t>
        </is>
      </c>
      <c r="I225" s="0" t="inlineStr">
        <is>
          <t>Dívida Ativa</t>
        </is>
      </c>
    </row>
    <row r="226">
      <c r="A226" s="0" t="n">
        <v>132</v>
      </c>
      <c r="B226" s="0" t="inlineStr">
        <is>
          <t>31/05/2025</t>
        </is>
      </c>
      <c r="C226" s="0" t="inlineStr">
        <is>
          <t>Outros Passivos:Adibras - Transitória de passivos</t>
        </is>
      </c>
      <c r="D226" s="0" t="n"/>
      <c r="E226" s="0" t="n">
        <v>31.98</v>
      </c>
      <c r="F226" s="0" t="inlineStr">
        <is>
          <t>Taxa Incendio Ref.2024 (25%) 01/0005</t>
        </is>
      </c>
      <c r="G226" s="0" t="inlineStr">
        <is>
          <t>CARLOS FERNANDES DUARTE</t>
        </is>
      </c>
      <c r="H226" s="0" t="inlineStr">
        <is>
          <t>Rua Miguel Couto N. 143 / 1º Andar (121 2/3)</t>
        </is>
      </c>
      <c r="I226" s="0" t="inlineStr">
        <is>
          <t>Taxa Incêndio</t>
        </is>
      </c>
    </row>
    <row r="227">
      <c r="A227" s="0" t="n">
        <v>132</v>
      </c>
      <c r="B227" s="0" t="inlineStr">
        <is>
          <t>31/05/2025</t>
        </is>
      </c>
      <c r="C227" s="0" t="inlineStr">
        <is>
          <t>Outros Passivos:Adibras - Transitória de passivos</t>
        </is>
      </c>
      <c r="D227" s="0" t="n"/>
      <c r="E227" s="0" t="n">
        <v>76.86</v>
      </c>
      <c r="F227" s="0" t="inlineStr">
        <is>
          <t>Agua e Esgoto  12/2024</t>
        </is>
      </c>
      <c r="G227" s="0" t="inlineStr">
        <is>
          <t>CARLOS FERNANDES DUARTE</t>
        </is>
      </c>
      <c r="H227" s="0" t="inlineStr">
        <is>
          <t>Rua Miguel Couto N. 143 / 1º Andar (121 2/3)</t>
        </is>
      </c>
      <c r="I227" s="0" t="inlineStr">
        <is>
          <t>Água e Esgoto</t>
        </is>
      </c>
    </row>
    <row r="228">
      <c r="A228" s="0" t="n">
        <v>132</v>
      </c>
      <c r="B228" s="0" t="inlineStr">
        <is>
          <t>31/05/2025</t>
        </is>
      </c>
      <c r="C228" s="0" t="inlineStr">
        <is>
          <t>Adibras - Transitória de ativos</t>
        </is>
      </c>
      <c r="D228" s="0" t="n">
        <v>2601.5</v>
      </c>
      <c r="E228" s="0" t="n"/>
      <c r="F228" s="0" t="inlineStr">
        <is>
          <t>Imp.Predial(IPTU)  01/0010</t>
        </is>
      </c>
      <c r="G228" s="0" t="inlineStr">
        <is>
          <t>WESLEY FALK</t>
        </is>
      </c>
      <c r="H228" s="0" t="inlineStr">
        <is>
          <t>Praça Mauá N. 15 / 2º, 3º E 4º  Andares (134 2/2)</t>
        </is>
      </c>
      <c r="I228" s="0" t="inlineStr">
        <is>
          <t>IPTU</t>
        </is>
      </c>
    </row>
    <row r="229">
      <c r="A229" s="0" t="n">
        <v>132</v>
      </c>
      <c r="B229" s="0" t="inlineStr">
        <is>
          <t>31/05/2025</t>
        </is>
      </c>
      <c r="C229" s="0" t="inlineStr">
        <is>
          <t>Adibras - Transitória de ativos</t>
        </is>
      </c>
      <c r="D229" s="0" t="n">
        <v>355.56</v>
      </c>
      <c r="E229" s="0" t="n"/>
      <c r="F229" s="0" t="inlineStr">
        <is>
          <t>Seguro C/Fogo 2024/2025 03/0004</t>
        </is>
      </c>
      <c r="G229" s="0" t="inlineStr">
        <is>
          <t>WESLEY FALK</t>
        </is>
      </c>
      <c r="H229" s="0" t="inlineStr">
        <is>
          <t>Praça Mauá N. 15 / 2º, 3º E 4º  Andares (134 2/2)</t>
        </is>
      </c>
      <c r="I229" s="0" t="inlineStr">
        <is>
          <t>Seguro</t>
        </is>
      </c>
    </row>
    <row r="230">
      <c r="A230" s="0" t="n">
        <v>132</v>
      </c>
      <c r="B230" s="0" t="inlineStr">
        <is>
          <t>31/05/2025</t>
        </is>
      </c>
      <c r="C230" s="0" t="inlineStr">
        <is>
          <t>Adibras - Transitória de ativos</t>
        </is>
      </c>
      <c r="D230" s="0" t="n">
        <v>426.43</v>
      </c>
      <c r="E230" s="0" t="n"/>
      <c r="F230" s="0" t="inlineStr">
        <is>
          <t>Taxa Incendio Ref.2024 01/0005</t>
        </is>
      </c>
      <c r="G230" s="0" t="inlineStr">
        <is>
          <t>WESLEY FALK</t>
        </is>
      </c>
      <c r="H230" s="0" t="inlineStr">
        <is>
          <t>Praça Mauá N. 15 / 2º, 3º E 4º  Andares (134 2/2)</t>
        </is>
      </c>
      <c r="I230" s="0" t="inlineStr">
        <is>
          <t>Taxa Incêndio</t>
        </is>
      </c>
    </row>
    <row r="231">
      <c r="A231" s="0" t="n">
        <v>132</v>
      </c>
      <c r="B231" s="0" t="inlineStr">
        <is>
          <t>31/05/2025</t>
        </is>
      </c>
      <c r="C231" s="0" t="inlineStr">
        <is>
          <t>Adibras - Transitória de ativos</t>
        </is>
      </c>
      <c r="D231" s="0" t="n">
        <v>1514.67</v>
      </c>
      <c r="E231" s="0" t="n"/>
      <c r="F231" s="0" t="inlineStr">
        <is>
          <t>Agua e Esgoto  10/2024</t>
        </is>
      </c>
      <c r="G231" s="0" t="inlineStr">
        <is>
          <t>HOUSE DOM MANUEL CAFETERIA LTD</t>
        </is>
      </c>
      <c r="H231" s="0" t="inlineStr">
        <is>
          <t>Rua Pedro I N. 14 / Loja (171 1/2)</t>
        </is>
      </c>
      <c r="I231" s="0" t="inlineStr">
        <is>
          <t>Água e Esgoto</t>
        </is>
      </c>
    </row>
    <row r="232">
      <c r="A232" s="0" t="n">
        <v>132</v>
      </c>
      <c r="B232" s="0" t="inlineStr">
        <is>
          <t>31/05/2025</t>
        </is>
      </c>
      <c r="C232" s="0" t="inlineStr">
        <is>
          <t>Adibras - Transitória de ativos</t>
        </is>
      </c>
      <c r="D232" s="0" t="n">
        <v>364.91</v>
      </c>
      <c r="E232" s="0" t="n"/>
      <c r="F232" s="0" t="inlineStr">
        <is>
          <t>Condominio  02/2025</t>
        </is>
      </c>
      <c r="G232" s="0" t="inlineStr">
        <is>
          <t>ERICK RIBEIRO DA SILVA</t>
        </is>
      </c>
      <c r="H232" s="0" t="inlineStr">
        <is>
          <t>R SANTOS TITARA,159/101 FTE</t>
        </is>
      </c>
      <c r="I232" s="0" t="inlineStr">
        <is>
          <t>Condomínio</t>
        </is>
      </c>
    </row>
    <row r="233">
      <c r="A233" s="0" t="n">
        <v>132</v>
      </c>
      <c r="B233" s="0" t="inlineStr">
        <is>
          <t>31/05/2025</t>
        </is>
      </c>
      <c r="C233" s="0" t="inlineStr">
        <is>
          <t>Adibras - Transitória de ativos</t>
        </is>
      </c>
      <c r="D233" s="0" t="n">
        <v>64.05</v>
      </c>
      <c r="E233" s="0" t="n"/>
      <c r="F233" s="0" t="inlineStr">
        <is>
          <t>Imp.Predial(IPTU)  01/0010</t>
        </is>
      </c>
      <c r="G233" s="0" t="inlineStr">
        <is>
          <t>ERICK RIBEIRO DA SILVA</t>
        </is>
      </c>
      <c r="H233" s="0" t="inlineStr">
        <is>
          <t>R SANTOS TITARA,159/101 FTE</t>
        </is>
      </c>
      <c r="I233" s="0" t="inlineStr">
        <is>
          <t>IPTU</t>
        </is>
      </c>
    </row>
    <row r="234">
      <c r="A234" s="0" t="n">
        <v>132</v>
      </c>
      <c r="B234" s="0" t="inlineStr">
        <is>
          <t>31/05/2025</t>
        </is>
      </c>
      <c r="C234" s="0" t="inlineStr">
        <is>
          <t>Adibras - Transitória de ativos</t>
        </is>
      </c>
      <c r="D234" s="0" t="n">
        <v>53.29</v>
      </c>
      <c r="E234" s="0" t="n"/>
      <c r="F234" s="0" t="inlineStr">
        <is>
          <t>Taxa Incendio Ref.2024 01/0001</t>
        </is>
      </c>
      <c r="G234" s="0" t="inlineStr">
        <is>
          <t>ERICK RIBEIRO DA SILVA</t>
        </is>
      </c>
      <c r="H234" s="0" t="inlineStr">
        <is>
          <t>R SANTOS TITARA,159/101 FTE</t>
        </is>
      </c>
      <c r="I234" s="0" t="inlineStr">
        <is>
          <t>Taxa Incêndio</t>
        </is>
      </c>
    </row>
    <row r="235">
      <c r="A235" s="0" t="n">
        <v>132</v>
      </c>
      <c r="B235" s="0" t="inlineStr">
        <is>
          <t>31/05/2025</t>
        </is>
      </c>
      <c r="C235" s="0" t="inlineStr">
        <is>
          <t>Adibras - Transitória de ativos</t>
        </is>
      </c>
      <c r="D235" s="0" t="n">
        <v>128.4</v>
      </c>
      <c r="E235" s="0" t="n"/>
      <c r="F235" s="0" t="inlineStr">
        <is>
          <t>Condominio  02/2025</t>
        </is>
      </c>
      <c r="G235" s="0" t="inlineStr">
        <is>
          <t>BAR E LANCHONETE PH LTDA</t>
        </is>
      </c>
      <c r="H235" s="0" t="inlineStr">
        <is>
          <t>Rua Dos Inválidos N. 138  /  Loja I Do  Bloco I (152 1/2)</t>
        </is>
      </c>
      <c r="I235" s="0" t="inlineStr">
        <is>
          <t>Condomínio</t>
        </is>
      </c>
    </row>
    <row r="236">
      <c r="A236" s="0" t="n">
        <v>132</v>
      </c>
      <c r="B236" s="0" t="inlineStr">
        <is>
          <t>31/05/2025</t>
        </is>
      </c>
      <c r="C236" s="0" t="inlineStr">
        <is>
          <t>Adibras - Transitória de ativos</t>
        </is>
      </c>
      <c r="D236" s="0" t="n">
        <v>142.95</v>
      </c>
      <c r="E236" s="0" t="n"/>
      <c r="F236" s="0" t="inlineStr">
        <is>
          <t>Imp.Predial(IPTU)  01/0010</t>
        </is>
      </c>
      <c r="G236" s="0" t="inlineStr">
        <is>
          <t>BAR E LANCHONETE PH LTDA</t>
        </is>
      </c>
      <c r="H236" s="0" t="inlineStr">
        <is>
          <t>Rua Dos Inválidos N. 138  /  Loja I Do  Bloco I (152 1/2)</t>
        </is>
      </c>
      <c r="I236" s="0" t="inlineStr">
        <is>
          <t>IPTU</t>
        </is>
      </c>
    </row>
    <row r="237">
      <c r="A237" s="0" t="n">
        <v>132</v>
      </c>
      <c r="B237" s="0" t="inlineStr">
        <is>
          <t>31/05/2025</t>
        </is>
      </c>
      <c r="C237" s="0" t="inlineStr">
        <is>
          <t>Adibras - Transitória de ativos</t>
        </is>
      </c>
      <c r="D237" s="0" t="n">
        <v>42.65</v>
      </c>
      <c r="E237" s="0" t="n"/>
      <c r="F237" s="0" t="inlineStr">
        <is>
          <t>Taxa Incendio Ref.2024 01/0001</t>
        </is>
      </c>
      <c r="G237" s="0" t="inlineStr">
        <is>
          <t>BAR E LANCHONETE PH LTDA</t>
        </is>
      </c>
      <c r="H237" s="0" t="inlineStr">
        <is>
          <t>Rua Dos Inválidos N. 138  /  Loja I Do  Bloco I (152 1/2)</t>
        </is>
      </c>
      <c r="I237" s="0" t="inlineStr">
        <is>
          <t>Taxa Incêndio</t>
        </is>
      </c>
    </row>
    <row r="238">
      <c r="A238" s="0" t="n">
        <v>132</v>
      </c>
      <c r="B238" s="0" t="inlineStr">
        <is>
          <t>31/05/2025</t>
        </is>
      </c>
      <c r="C238" s="0" t="inlineStr">
        <is>
          <t>Adibras - Transitória de ativos</t>
        </is>
      </c>
      <c r="D238" s="0" t="n">
        <v>0.65</v>
      </c>
      <c r="E238" s="0" t="n"/>
      <c r="F238" s="0" t="inlineStr">
        <is>
          <t>Dif. Condominio  01/2025</t>
        </is>
      </c>
      <c r="G238" s="0" t="inlineStr">
        <is>
          <t>BAR E LANCHONETE PH LTDA</t>
        </is>
      </c>
      <c r="H238" s="0" t="inlineStr">
        <is>
          <t>Rua Dos Inválidos N. 138  /  Loja I Do  Bloco I (152 1/2)</t>
        </is>
      </c>
      <c r="I238" s="0" t="inlineStr">
        <is>
          <t>Condomínio</t>
        </is>
      </c>
    </row>
    <row r="239">
      <c r="A239" s="0" t="n">
        <v>132</v>
      </c>
      <c r="B239" s="0" t="inlineStr">
        <is>
          <t>31/05/2025</t>
        </is>
      </c>
      <c r="C239" s="0" t="inlineStr">
        <is>
          <t>Adibras - Transitória de ativos</t>
        </is>
      </c>
      <c r="D239" s="0" t="n">
        <v>31.98</v>
      </c>
      <c r="E239" s="0" t="n"/>
      <c r="F239" s="0" t="inlineStr">
        <is>
          <t>Taxa Incendio Ref.2024(25%) 01/0005</t>
        </is>
      </c>
      <c r="G239" s="0" t="inlineStr">
        <is>
          <t>STUDIO DE DANCA FLAVIO MARQUES</t>
        </is>
      </c>
      <c r="H239" s="0" t="inlineStr">
        <is>
          <t>Rua Miguel Couto N. 143 / 2º Andar (121 3/3)</t>
        </is>
      </c>
      <c r="I239" s="0" t="inlineStr">
        <is>
          <t>Taxa Incêndio</t>
        </is>
      </c>
    </row>
    <row r="240">
      <c r="A240" s="0" t="n">
        <v>132</v>
      </c>
      <c r="B240" s="0" t="inlineStr">
        <is>
          <t>31/05/2025</t>
        </is>
      </c>
      <c r="C240" s="0" t="inlineStr">
        <is>
          <t>Adibras - Transitória de ativos</t>
        </is>
      </c>
      <c r="D240" s="0" t="n">
        <v>25.62</v>
      </c>
      <c r="E240" s="0" t="n"/>
      <c r="F240" s="0" t="inlineStr">
        <is>
          <t>Agua e Esgoto  12/2024</t>
        </is>
      </c>
      <c r="G240" s="0" t="inlineStr">
        <is>
          <t>STUDIO DE DANCA FLAVIO MARQUES</t>
        </is>
      </c>
      <c r="H240" s="0" t="inlineStr">
        <is>
          <t>Rua Miguel Couto N. 143 / 2º Andar (121 3/3)</t>
        </is>
      </c>
      <c r="I240" s="0" t="inlineStr">
        <is>
          <t>Água e Esgoto</t>
        </is>
      </c>
    </row>
    <row r="241">
      <c r="A241" s="0" t="n">
        <v>132</v>
      </c>
      <c r="B241" s="0" t="inlineStr">
        <is>
          <t>31/05/2025</t>
        </is>
      </c>
      <c r="C241" s="0" t="inlineStr">
        <is>
          <t>Adibras - Transitória de ativos</t>
        </is>
      </c>
      <c r="D241" s="0" t="n">
        <v>115.34</v>
      </c>
      <c r="E241" s="0" t="n"/>
      <c r="F241" s="0" t="inlineStr">
        <is>
          <t>Seguro C/Fogo Ref.2024/2025(30%) 06/0006</t>
        </is>
      </c>
      <c r="G241" s="0" t="inlineStr">
        <is>
          <t>SOUZA LOPES PROD.ALIMENTICIOS</t>
        </is>
      </c>
      <c r="H241" s="0" t="inlineStr">
        <is>
          <t>R MIGUEL COUTO, 143 LJA</t>
        </is>
      </c>
      <c r="I241" s="0" t="inlineStr">
        <is>
          <t>Seguro</t>
        </is>
      </c>
    </row>
    <row r="242">
      <c r="A242" s="0" t="n">
        <v>132</v>
      </c>
      <c r="B242" s="0" t="inlineStr">
        <is>
          <t>31/05/2025</t>
        </is>
      </c>
      <c r="C242" s="0" t="inlineStr">
        <is>
          <t>Adibras - Transitória de ativos</t>
        </is>
      </c>
      <c r="D242" s="0" t="n">
        <v>63.97</v>
      </c>
      <c r="E242" s="0" t="n"/>
      <c r="F242" s="0" t="inlineStr">
        <is>
          <t>Taxa Incendio Ref.2024(30% de 50%) 01/0005</t>
        </is>
      </c>
      <c r="G242" s="0" t="inlineStr">
        <is>
          <t>SOUZA LOPES PROD.ALIMENTICIOS</t>
        </is>
      </c>
      <c r="H242" s="0" t="inlineStr">
        <is>
          <t>R MIGUEL COUTO, 143 LJA</t>
        </is>
      </c>
      <c r="I242" s="0" t="inlineStr">
        <is>
          <t>Taxa Incêndio</t>
        </is>
      </c>
    </row>
    <row r="243">
      <c r="A243" s="0" t="n">
        <v>132</v>
      </c>
      <c r="B243" s="0" t="inlineStr">
        <is>
          <t>31/05/2025</t>
        </is>
      </c>
      <c r="C243" s="0" t="inlineStr">
        <is>
          <t>Adibras - Transitória de ativos</t>
        </is>
      </c>
      <c r="D243" s="0" t="n">
        <v>153.73</v>
      </c>
      <c r="E243" s="0" t="n"/>
      <c r="F243" s="0" t="inlineStr">
        <is>
          <t>Agua e Esgoto  12/2024</t>
        </is>
      </c>
      <c r="G243" s="0" t="inlineStr">
        <is>
          <t>SOUZA LOPES PROD.ALIMENTICIOS</t>
        </is>
      </c>
      <c r="H243" s="0" t="inlineStr">
        <is>
          <t>R MIGUEL COUTO, 143 LJA</t>
        </is>
      </c>
      <c r="I243" s="0" t="inlineStr">
        <is>
          <t>Água e Esgoto</t>
        </is>
      </c>
    </row>
    <row r="244">
      <c r="A244" s="0" t="n">
        <v>132</v>
      </c>
      <c r="B244" s="0" t="inlineStr">
        <is>
          <t>31/05/2025</t>
        </is>
      </c>
      <c r="C244" s="0" t="inlineStr">
        <is>
          <t>Adibras - Transitória de ativos</t>
        </is>
      </c>
      <c r="D244" s="0" t="n">
        <v>1531.33</v>
      </c>
      <c r="E244" s="0" t="n"/>
      <c r="F244" s="0" t="inlineStr">
        <is>
          <t>Condominio  02/2025</t>
        </is>
      </c>
      <c r="G244" s="0" t="inlineStr">
        <is>
          <t>JULIANA DEGANI COUTINHO</t>
        </is>
      </c>
      <c r="H244" s="0" t="inlineStr">
        <is>
          <t>Rua Dr. Paulo Fróes Machado N. 95 - Loja - Nova Iguaçu (193 1/1)</t>
        </is>
      </c>
      <c r="I244" s="0" t="inlineStr">
        <is>
          <t>Condomínio</t>
        </is>
      </c>
    </row>
    <row r="245">
      <c r="A245" s="0" t="n">
        <v>132</v>
      </c>
      <c r="B245" s="0" t="inlineStr">
        <is>
          <t>31/05/2025</t>
        </is>
      </c>
      <c r="C245" s="0" t="inlineStr">
        <is>
          <t>Adibras - Transitória de ativos</t>
        </is>
      </c>
      <c r="D245" s="0" t="n">
        <v>495.39</v>
      </c>
      <c r="E245" s="0" t="n"/>
      <c r="F245" s="0" t="inlineStr">
        <is>
          <t>Imp.Predial(IPTU) Ref.2025 01/0010</t>
        </is>
      </c>
      <c r="G245" s="0" t="inlineStr">
        <is>
          <t>JULIANA DEGANI COUTINHO</t>
        </is>
      </c>
      <c r="H245" s="0" t="inlineStr">
        <is>
          <t>Rua Dr. Paulo Fróes Machado N. 95 - Loja - Nova Iguaçu (193 1/1)</t>
        </is>
      </c>
      <c r="I245" s="0" t="inlineStr">
        <is>
          <t>IPTU</t>
        </is>
      </c>
    </row>
    <row r="246">
      <c r="A246" s="0" t="n">
        <v>132</v>
      </c>
      <c r="B246" s="0" t="inlineStr">
        <is>
          <t>31/05/2025</t>
        </is>
      </c>
      <c r="C246" s="0" t="inlineStr">
        <is>
          <t>Adibras - Transitória de ativos</t>
        </is>
      </c>
      <c r="D246" s="0" t="n">
        <v>143.27</v>
      </c>
      <c r="E246" s="0" t="n"/>
      <c r="F246" s="0" t="inlineStr">
        <is>
          <t>Taxa Incendio Ref.2024 01/0005</t>
        </is>
      </c>
      <c r="G246" s="0" t="inlineStr">
        <is>
          <t>JULIANA DEGANI COUTINHO</t>
        </is>
      </c>
      <c r="H246" s="0" t="inlineStr">
        <is>
          <t>Rua Dr. Paulo Fróes Machado N. 95 - Loja - Nova Iguaçu (193 1/1)</t>
        </is>
      </c>
      <c r="I246" s="0" t="inlineStr">
        <is>
          <t>Taxa Incêndio</t>
        </is>
      </c>
    </row>
    <row r="247">
      <c r="A247" s="0" t="n">
        <v>132</v>
      </c>
      <c r="B247" s="0" t="inlineStr">
        <is>
          <t>31/05/2025</t>
        </is>
      </c>
      <c r="C247" s="0" t="inlineStr">
        <is>
          <t>Adibras - Transitória de ativos</t>
        </is>
      </c>
      <c r="D247" s="0" t="n">
        <v>1247.4</v>
      </c>
      <c r="E247" s="0" t="n"/>
      <c r="F247" s="0" t="inlineStr">
        <is>
          <t>Condominio  02/2025</t>
        </is>
      </c>
      <c r="G247" s="0" t="inlineStr">
        <is>
          <t>RIO DERME FARMÁCIA DE MANIPULA</t>
        </is>
      </c>
      <c r="H247" s="0" t="inlineStr">
        <is>
          <t>Rua Dr. Paulo Fróes Machado N. 105 - Loja - Nova Iguaçu (194 1/1)</t>
        </is>
      </c>
      <c r="I247" s="0" t="inlineStr">
        <is>
          <t>Condomínio</t>
        </is>
      </c>
    </row>
    <row r="248">
      <c r="A248" s="0" t="n">
        <v>132</v>
      </c>
      <c r="B248" s="0" t="inlineStr">
        <is>
          <t>31/05/2025</t>
        </is>
      </c>
      <c r="C248" s="0" t="inlineStr">
        <is>
          <t>Adibras - Transitória de ativos</t>
        </is>
      </c>
      <c r="D248" s="0" t="n">
        <v>556.09</v>
      </c>
      <c r="E248" s="0" t="n"/>
      <c r="F248" s="0" t="inlineStr">
        <is>
          <t>Imp.Predial(IPTU) Ref.2025 01/0010</t>
        </is>
      </c>
      <c r="G248" s="0" t="inlineStr">
        <is>
          <t>RIO DERME FARMÁCIA DE MANIPULA</t>
        </is>
      </c>
      <c r="H248" s="0" t="inlineStr">
        <is>
          <t>Rua Dr. Paulo Fróes Machado N. 105 - Loja - Nova Iguaçu (194 1/1)</t>
        </is>
      </c>
      <c r="I248" s="0" t="inlineStr">
        <is>
          <t>IPTU</t>
        </is>
      </c>
    </row>
    <row r="249">
      <c r="A249" s="0" t="n">
        <v>132</v>
      </c>
      <c r="B249" s="0" t="inlineStr">
        <is>
          <t>31/05/2025</t>
        </is>
      </c>
      <c r="C249" s="0" t="inlineStr">
        <is>
          <t>Adibras - Transitória de ativos</t>
        </is>
      </c>
      <c r="D249" s="0" t="n">
        <v>187.65</v>
      </c>
      <c r="E249" s="0" t="n"/>
      <c r="F249" s="0" t="inlineStr">
        <is>
          <t>Taxa Incendio Ref.2024 01/0005</t>
        </is>
      </c>
      <c r="G249" s="0" t="inlineStr">
        <is>
          <t>RIO DERME FARMÁCIA DE MANIPULA</t>
        </is>
      </c>
      <c r="H249" s="0" t="inlineStr">
        <is>
          <t>Rua Dr. Paulo Fróes Machado N. 105 - Loja - Nova Iguaçu (194 1/1)</t>
        </is>
      </c>
      <c r="I249" s="0" t="inlineStr">
        <is>
          <t>Taxa Incêndio</t>
        </is>
      </c>
    </row>
    <row r="250">
      <c r="A250" s="0" t="n">
        <v>132</v>
      </c>
      <c r="B250" s="0" t="inlineStr">
        <is>
          <t>31/05/2025</t>
        </is>
      </c>
      <c r="C250" s="0" t="inlineStr">
        <is>
          <t>Adibras - Transitória de ativos</t>
        </is>
      </c>
      <c r="D250" s="0" t="n">
        <v>260.12</v>
      </c>
      <c r="E250" s="0" t="n"/>
      <c r="F250" s="0" t="inlineStr">
        <is>
          <t>Imp.Predial(IPTU)  01/0010</t>
        </is>
      </c>
      <c r="G250" s="0" t="inlineStr">
        <is>
          <t>CENTRO DE FORM.DE CONDUT. LEBL</t>
        </is>
      </c>
      <c r="H250" s="0" t="inlineStr">
        <is>
          <t>Rua Do Acre N. 77 / Loja D (158 1/1)</t>
        </is>
      </c>
      <c r="I250" s="0" t="inlineStr">
        <is>
          <t>IPTU</t>
        </is>
      </c>
    </row>
    <row r="251">
      <c r="A251" s="0" t="n">
        <v>132</v>
      </c>
      <c r="B251" s="0" t="inlineStr">
        <is>
          <t>31/05/2025</t>
        </is>
      </c>
      <c r="C251" s="0" t="inlineStr">
        <is>
          <t>Adibras - Transitória de ativos</t>
        </is>
      </c>
      <c r="D251" s="0" t="n">
        <v>32.24</v>
      </c>
      <c r="E251" s="0" t="n"/>
      <c r="F251" s="0" t="inlineStr">
        <is>
          <t>Taxa Incendio Ref.2024 01/0005</t>
        </is>
      </c>
      <c r="G251" s="0" t="inlineStr">
        <is>
          <t>CENTRO DE FORM.DE CONDUT. LEBL</t>
        </is>
      </c>
      <c r="H251" s="0" t="inlineStr">
        <is>
          <t>Rua Do Acre N. 77 / Loja D (158 1/1)</t>
        </is>
      </c>
      <c r="I251" s="0" t="inlineStr">
        <is>
          <t>Taxa Incêndio</t>
        </is>
      </c>
    </row>
    <row r="252">
      <c r="A252" s="0" t="n">
        <v>132</v>
      </c>
      <c r="B252" s="0" t="inlineStr">
        <is>
          <t>31/05/2025</t>
        </is>
      </c>
      <c r="C252" s="0" t="inlineStr">
        <is>
          <t>Adibras - Transitória de ativos</t>
        </is>
      </c>
      <c r="D252" s="0" t="n">
        <v>312.63</v>
      </c>
      <c r="E252" s="0" t="n"/>
      <c r="F252" s="0" t="inlineStr">
        <is>
          <t>Seguro C/Fogo Ref.2024/2025 03/0006</t>
        </is>
      </c>
      <c r="G252" s="0" t="inlineStr">
        <is>
          <t>DUNA GRILL BAR E RESTAURANTE L</t>
        </is>
      </c>
      <c r="H252" s="0" t="inlineStr">
        <is>
          <t>Rua Evaristo Da Veiga N. 24 / Prédio (179 1/1)</t>
        </is>
      </c>
      <c r="I252" s="0" t="inlineStr">
        <is>
          <t>Seguro</t>
        </is>
      </c>
    </row>
    <row r="253">
      <c r="A253" s="0" t="n">
        <v>132</v>
      </c>
      <c r="B253" s="0" t="inlineStr">
        <is>
          <t>31/05/2025</t>
        </is>
      </c>
      <c r="C253" s="0" t="inlineStr">
        <is>
          <t>Adibras - Transitória de ativos</t>
        </is>
      </c>
      <c r="D253" s="0" t="n">
        <v>1156.48</v>
      </c>
      <c r="E253" s="0" t="n"/>
      <c r="F253" s="0" t="inlineStr">
        <is>
          <t>Iptu Divida Ativa Ref.2022 09/0048</t>
        </is>
      </c>
      <c r="G253" s="0" t="inlineStr">
        <is>
          <t>DUNA GRILL BAR E RESTAURANTE L</t>
        </is>
      </c>
      <c r="H253" s="0" t="inlineStr">
        <is>
          <t>Rua Evaristo Da Veiga N. 24 / Prédio (179 1/1)</t>
        </is>
      </c>
      <c r="I253" s="0" t="inlineStr">
        <is>
          <t>Dívida Ativa</t>
        </is>
      </c>
    </row>
    <row r="254">
      <c r="A254" s="0" t="n">
        <v>132</v>
      </c>
      <c r="B254" s="0" t="inlineStr">
        <is>
          <t>31/05/2025</t>
        </is>
      </c>
      <c r="C254" s="0" t="inlineStr">
        <is>
          <t>Adibras - Transitória de ativos</t>
        </is>
      </c>
      <c r="D254" s="0" t="n">
        <v>2154.03</v>
      </c>
      <c r="E254" s="0" t="n"/>
      <c r="F254" s="0" t="inlineStr">
        <is>
          <t>Iptu Divida Ativa Ref.2021+37/48 Ref.2020 22/0048</t>
        </is>
      </c>
      <c r="G254" s="0" t="inlineStr">
        <is>
          <t>DUNA GRILL BAR E RESTAURANTE L</t>
        </is>
      </c>
      <c r="H254" s="0" t="inlineStr">
        <is>
          <t>Rua Evaristo Da Veiga N. 24 / Prédio (179 1/1)</t>
        </is>
      </c>
      <c r="I254" s="0" t="inlineStr">
        <is>
          <t>Dívida Ativa</t>
        </is>
      </c>
    </row>
    <row r="255">
      <c r="A255" s="0" t="n">
        <v>132</v>
      </c>
      <c r="B255" s="0" t="inlineStr">
        <is>
          <t>31/05/2025</t>
        </is>
      </c>
      <c r="C255" s="0" t="inlineStr">
        <is>
          <t>Adibras - Transitória de ativos</t>
        </is>
      </c>
      <c r="D255" s="0" t="n">
        <v>481.1</v>
      </c>
      <c r="E255" s="0" t="n"/>
      <c r="F255" s="0" t="inlineStr">
        <is>
          <t>Imp.Predial(IPTU)  01/0010</t>
        </is>
      </c>
      <c r="G255" s="0" t="n"/>
      <c r="H255" s="0" t="inlineStr">
        <is>
          <t>Rua Sacadura Cabral N. 149 - Prédio (195 1/1)</t>
        </is>
      </c>
      <c r="I255" s="0" t="inlineStr">
        <is>
          <t>IPTU</t>
        </is>
      </c>
    </row>
    <row r="256">
      <c r="A256" s="0" t="n">
        <v>132</v>
      </c>
      <c r="B256" s="0" t="inlineStr">
        <is>
          <t>31/05/2025</t>
        </is>
      </c>
      <c r="C256" s="0" t="inlineStr">
        <is>
          <t>Adibras - Transitória de ativos</t>
        </is>
      </c>
      <c r="D256" s="0" t="n">
        <v>121.07</v>
      </c>
      <c r="E256" s="0" t="n"/>
      <c r="F256" s="0" t="inlineStr">
        <is>
          <t>Taxa Incendio Ref.2024(2 Meses e 13 Dias) 01/0001</t>
        </is>
      </c>
      <c r="G256" s="0" t="n"/>
      <c r="H256" s="0" t="inlineStr">
        <is>
          <t>Rua Sacadura Cabral N. 149 - Prédio (195 1/1)</t>
        </is>
      </c>
      <c r="I256" s="0" t="inlineStr">
        <is>
          <t>Taxa Incêndio</t>
        </is>
      </c>
    </row>
    <row r="257">
      <c r="A257" s="0" t="n">
        <v>132</v>
      </c>
      <c r="B257" s="0" t="inlineStr">
        <is>
          <t>31/05/2025</t>
        </is>
      </c>
      <c r="C257" s="0" t="inlineStr">
        <is>
          <t>Adibras - Transitória de ativos</t>
        </is>
      </c>
      <c r="D257" s="0" t="n">
        <v>258.6</v>
      </c>
      <c r="E257" s="0" t="n"/>
      <c r="F257" s="0" t="inlineStr">
        <is>
          <t>Seguro Fianca Ref.2024/2029 06/0060</t>
        </is>
      </c>
      <c r="G257" s="0" t="n"/>
      <c r="H257" s="0" t="inlineStr">
        <is>
          <t>Rua Sacadura Cabral N. 149 - Prédio (195 1/1)</t>
        </is>
      </c>
      <c r="I257" s="0" t="inlineStr">
        <is>
          <t>Seguro</t>
        </is>
      </c>
    </row>
    <row r="258">
      <c r="A258" s="0" t="n">
        <v>132</v>
      </c>
      <c r="B258" s="0" t="inlineStr">
        <is>
          <t>31/05/2025</t>
        </is>
      </c>
      <c r="C258" s="0" t="inlineStr">
        <is>
          <t>Adibras - Transitória de ativos</t>
        </is>
      </c>
      <c r="D258" s="0" t="n">
        <v>219.31</v>
      </c>
      <c r="E258" s="0" t="n"/>
      <c r="F258" s="0" t="inlineStr">
        <is>
          <t>Agua e Esgoto  10/2024</t>
        </is>
      </c>
      <c r="G258" s="0" t="inlineStr">
        <is>
          <t>MICHEL FALCAO ROSA E/OU</t>
        </is>
      </c>
      <c r="H258" s="0" t="inlineStr">
        <is>
          <t>Rua Da Alfândega N. 97 / Loja (187 1/2)</t>
        </is>
      </c>
      <c r="I258" s="0" t="inlineStr">
        <is>
          <t>Água e Esgoto</t>
        </is>
      </c>
    </row>
    <row r="259">
      <c r="A259" s="0" t="n">
        <v>132</v>
      </c>
      <c r="B259" s="0" t="inlineStr">
        <is>
          <t>31/05/2025</t>
        </is>
      </c>
      <c r="C259" s="0" t="inlineStr">
        <is>
          <t>Adibras - Transitória de ativos</t>
        </is>
      </c>
      <c r="D259" s="0" t="n">
        <v>250.84</v>
      </c>
      <c r="E259" s="0" t="n"/>
      <c r="F259" s="0" t="inlineStr">
        <is>
          <t>Iptu Divida Ativa 2020 38/0048</t>
        </is>
      </c>
      <c r="G259" s="0" t="inlineStr">
        <is>
          <t>MICHEL FALCAO ROSA E/OU</t>
        </is>
      </c>
      <c r="H259" s="0" t="inlineStr">
        <is>
          <t>Rua Da Alfândega N. 97 / Loja (187 1/2)</t>
        </is>
      </c>
      <c r="I259" s="0" t="inlineStr">
        <is>
          <t>Dívida Ativa</t>
        </is>
      </c>
    </row>
    <row r="260">
      <c r="A260" s="0" t="n">
        <v>132</v>
      </c>
      <c r="B260" s="0" t="inlineStr">
        <is>
          <t>31/05/2025</t>
        </is>
      </c>
      <c r="C260" s="0" t="inlineStr">
        <is>
          <t>Adibras - Transitória de ativos</t>
        </is>
      </c>
      <c r="D260" s="0" t="n">
        <v>31.98</v>
      </c>
      <c r="E260" s="0" t="n"/>
      <c r="F260" s="0" t="inlineStr">
        <is>
          <t>Taxa Incendio Ref.2024 (25%) 01/0005</t>
        </is>
      </c>
      <c r="G260" s="0" t="inlineStr">
        <is>
          <t>CARLOS FERNANDES DUARTE</t>
        </is>
      </c>
      <c r="H260" s="0" t="inlineStr">
        <is>
          <t>Rua Miguel Couto N. 143 / 1º Andar (121 2/3)</t>
        </is>
      </c>
      <c r="I260" s="0" t="inlineStr">
        <is>
          <t>Taxa Incêndio</t>
        </is>
      </c>
    </row>
    <row r="261">
      <c r="A261" s="0" t="n">
        <v>132</v>
      </c>
      <c r="B261" s="0" t="inlineStr">
        <is>
          <t>31/05/2025</t>
        </is>
      </c>
      <c r="C261" s="0" t="inlineStr">
        <is>
          <t>Adibras - Transitória de ativos</t>
        </is>
      </c>
      <c r="D261" s="0" t="n">
        <v>76.86</v>
      </c>
      <c r="E261" s="0" t="n"/>
      <c r="F261" s="0" t="inlineStr">
        <is>
          <t>Agua e Esgoto  12/2024</t>
        </is>
      </c>
      <c r="G261" s="0" t="inlineStr">
        <is>
          <t>CARLOS FERNANDES DUARTE</t>
        </is>
      </c>
      <c r="H261" s="0" t="inlineStr">
        <is>
          <t>Rua Miguel Couto N. 143 / 1º Andar (121 2/3)</t>
        </is>
      </c>
      <c r="I261" s="0" t="inlineStr">
        <is>
          <t>Água e Esgoto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0" customWidth="1" style="30" min="1" max="1"/>
    <col width="14" customWidth="1" style="30" min="2" max="2"/>
    <col width="43" customWidth="1" style="30" min="3" max="3"/>
    <col width="13" customWidth="1" style="30" min="4" max="4"/>
    <col width="80" customWidth="1" style="30" min="5" max="5"/>
    <col width="21" customWidth="1" style="30" min="6" max="6"/>
    <col width="16" customWidth="1" style="30" min="7" max="7"/>
    <col width="24" customWidth="1" style="30" min="8" max="8"/>
    <col width="37" customWidth="1" style="30" min="9" max="9"/>
    <col width="37" customWidth="1" style="30" min="10" max="10"/>
    <col width="17" customWidth="1" style="30" min="11" max="11"/>
    <col width="17" customWidth="1" style="30" min="12" max="12"/>
    <col width="21" customWidth="1" style="30" min="13" max="13"/>
    <col width="26" customWidth="1" style="30" min="14" max="14"/>
  </cols>
  <sheetData>
    <row r="1">
      <c r="A1" s="0" t="inlineStr">
        <is>
          <t>DIA</t>
        </is>
      </c>
      <c r="B1" s="0" t="inlineStr">
        <is>
          <t>LOCADOR</t>
        </is>
      </c>
      <c r="C1" s="0" t="inlineStr">
        <is>
          <t>NOME LOCADOR</t>
        </is>
      </c>
      <c r="D1" s="0" t="inlineStr">
        <is>
          <t>IMÓVEL</t>
        </is>
      </c>
      <c r="E1" s="0" t="inlineStr">
        <is>
          <t>ENDEREÇO DO IMÓVEL</t>
        </is>
      </c>
      <c r="F1" s="0" t="inlineStr">
        <is>
          <t>LOCATÁRIO</t>
        </is>
      </c>
      <c r="G1" s="0" t="inlineStr">
        <is>
          <t>HISTORICO</t>
        </is>
      </c>
      <c r="H1" s="0" t="inlineStr">
        <is>
          <t>DESCRIÇÃO</t>
        </is>
      </c>
      <c r="I1" s="0" t="inlineStr">
        <is>
          <t>COMPLEMENTO HISTÓRICO</t>
        </is>
      </c>
      <c r="J1" s="0" t="inlineStr">
        <is>
          <t>COMPLEMENTO HISTÓRICO.1</t>
        </is>
      </c>
      <c r="K1" s="0" t="inlineStr">
        <is>
          <t>REFERÊNCIA</t>
        </is>
      </c>
      <c r="L1" s="0" t="inlineStr">
        <is>
          <t>VALOR PAGO</t>
        </is>
      </c>
      <c r="M1" s="0" t="inlineStr">
        <is>
          <t>VALOR RECEBIDO</t>
        </is>
      </c>
      <c r="N1" s="0" t="inlineStr">
        <is>
          <t>TIPO DE LANÇAMENTO</t>
        </is>
      </c>
    </row>
    <row r="2">
      <c r="A2" s="0" t="inlineStr">
        <is>
          <t>0</t>
        </is>
      </c>
      <c r="B2" s="0" t="inlineStr">
        <is>
          <t>8044</t>
        </is>
      </c>
      <c r="C2" s="0" t="inlineStr">
        <is>
          <t>LOUROSA PARTICIPACOES E IMOVEIS LTDA</t>
        </is>
      </c>
      <c r="D2" s="0" t="inlineStr">
        <is>
          <t>0</t>
        </is>
      </c>
      <c r="E2" s="0" t="inlineStr"/>
      <c r="F2" s="0" t="inlineStr"/>
      <c r="G2" s="0" t="inlineStr"/>
      <c r="H2" s="0" t="inlineStr"/>
      <c r="I2" s="0" t="inlineStr"/>
      <c r="J2" s="0" t="inlineStr"/>
      <c r="K2" s="0" t="inlineStr">
        <is>
          <t>/</t>
        </is>
      </c>
      <c r="L2" s="0" t="n">
        <v>54676.83</v>
      </c>
      <c r="M2" s="0" t="inlineStr"/>
      <c r="N2" s="0" t="inlineStr">
        <is>
          <t>Lançamentos manuais</t>
        </is>
      </c>
    </row>
    <row r="3">
      <c r="A3" s="0" t="inlineStr">
        <is>
          <t>3</t>
        </is>
      </c>
      <c r="B3" s="0" t="inlineStr">
        <is>
          <t>8044</t>
        </is>
      </c>
      <c r="C3" s="0" t="inlineStr">
        <is>
          <t>LOUROSA PARTICIPACOES E IMOVEIS LTDA</t>
        </is>
      </c>
      <c r="D3" s="0" t="inlineStr">
        <is>
          <t>44814</t>
        </is>
      </c>
      <c r="E3" s="0" t="inlineStr">
        <is>
          <t>Rua Dr. Paulo Fróes Machado N. 95 - Loja - Nova Iguaçu (193 1/1)</t>
        </is>
      </c>
      <c r="F3" s="0" t="inlineStr">
        <is>
          <t>08391795705</t>
        </is>
      </c>
      <c r="G3" s="0" t="inlineStr">
        <is>
          <t>702</t>
        </is>
      </c>
      <c r="H3" s="0" t="inlineStr">
        <is>
          <t>Dev. Condominio</t>
        </is>
      </c>
      <c r="I3" s="0" t="inlineStr"/>
      <c r="J3" s="0" t="inlineStr"/>
      <c r="K3" s="0" t="inlineStr">
        <is>
          <t>12/2024</t>
        </is>
      </c>
      <c r="L3" s="0" t="inlineStr"/>
      <c r="M3" s="0" t="n">
        <v>-3.47</v>
      </c>
      <c r="N3" s="0" t="inlineStr">
        <is>
          <t>Lançamentos manuais</t>
        </is>
      </c>
    </row>
    <row r="4">
      <c r="A4" s="0" t="inlineStr">
        <is>
          <t>3</t>
        </is>
      </c>
      <c r="B4" s="0" t="inlineStr">
        <is>
          <t>8044</t>
        </is>
      </c>
      <c r="C4" s="0" t="inlineStr">
        <is>
          <t>LOUROSA PARTICIPACOES E IMOVEIS LTDA</t>
        </is>
      </c>
      <c r="D4" s="0" t="inlineStr">
        <is>
          <t>44911</t>
        </is>
      </c>
      <c r="E4" s="0" t="inlineStr">
        <is>
          <t>Av. Princesa Isabel N. 300 / Loja B Do Bloco A (128 1/1)</t>
        </is>
      </c>
      <c r="F4" s="0" t="inlineStr"/>
      <c r="G4" s="0" t="inlineStr">
        <is>
          <t>505</t>
        </is>
      </c>
      <c r="H4" s="0" t="inlineStr">
        <is>
          <t>Cota Extra</t>
        </is>
      </c>
      <c r="I4" s="0" t="inlineStr">
        <is>
          <t>reparos eletricos no cond.</t>
        </is>
      </c>
      <c r="J4" s="0" t="inlineStr">
        <is>
          <t>AV PRINCESA ISABEL,300 BL.A LJ</t>
        </is>
      </c>
      <c r="K4" s="0" t="inlineStr">
        <is>
          <t>01/0002</t>
        </is>
      </c>
      <c r="L4" s="0" t="n">
        <v>31.82</v>
      </c>
      <c r="M4" s="0" t="inlineStr"/>
      <c r="N4" s="0" t="inlineStr">
        <is>
          <t>Lançamentos manuais</t>
        </is>
      </c>
    </row>
    <row r="5">
      <c r="A5" s="0" t="inlineStr">
        <is>
          <t>6</t>
        </is>
      </c>
      <c r="B5" s="0" t="inlineStr">
        <is>
          <t>8044</t>
        </is>
      </c>
      <c r="C5" s="0" t="inlineStr">
        <is>
          <t>LOUROSA PARTICIPACOES E IMOVEIS LTDA</t>
        </is>
      </c>
      <c r="D5" s="0" t="inlineStr">
        <is>
          <t>44946</t>
        </is>
      </c>
      <c r="E5" s="0" t="inlineStr">
        <is>
          <t>Rua Do Rosário N. 112 / 2º Andar (178 3/9)</t>
        </is>
      </c>
      <c r="F5" s="0" t="inlineStr">
        <is>
          <t>73697915720</t>
        </is>
      </c>
      <c r="G5" s="0" t="inlineStr">
        <is>
          <t>117</t>
        </is>
      </c>
      <c r="H5" s="0" t="inlineStr">
        <is>
          <t>Diversos</t>
        </is>
      </c>
      <c r="I5" s="0" t="inlineStr">
        <is>
          <t>Horas Extras Porteiro</t>
        </is>
      </c>
      <c r="J5" s="0" t="inlineStr"/>
      <c r="K5" s="0" t="inlineStr">
        <is>
          <t>01/0001</t>
        </is>
      </c>
      <c r="L5" s="0" t="inlineStr"/>
      <c r="M5" s="0" t="n">
        <v>81.97</v>
      </c>
      <c r="N5" s="0" t="inlineStr">
        <is>
          <t>Lançamentos manuais</t>
        </is>
      </c>
    </row>
    <row r="6">
      <c r="A6" s="0" t="inlineStr">
        <is>
          <t>7</t>
        </is>
      </c>
      <c r="B6" s="0" t="inlineStr">
        <is>
          <t>8044</t>
        </is>
      </c>
      <c r="C6" s="0" t="inlineStr">
        <is>
          <t>LOUROSA PARTICIPACOES E IMOVEIS LTDA</t>
        </is>
      </c>
      <c r="D6" s="0" t="inlineStr">
        <is>
          <t>44911</t>
        </is>
      </c>
      <c r="E6" s="0" t="inlineStr">
        <is>
          <t>Av. Princesa Isabel N. 300 / Loja B Do Bloco A (128 1/1)</t>
        </is>
      </c>
      <c r="F6" s="0" t="inlineStr">
        <is>
          <t>44691370000198</t>
        </is>
      </c>
      <c r="G6" s="0" t="inlineStr">
        <is>
          <t>124</t>
        </is>
      </c>
      <c r="H6" s="0" t="inlineStr">
        <is>
          <t>Empregados</t>
        </is>
      </c>
      <c r="I6" s="0" t="inlineStr">
        <is>
          <t>Ref.Rescisão</t>
        </is>
      </c>
      <c r="J6" s="0" t="inlineStr"/>
      <c r="K6" s="0" t="inlineStr">
        <is>
          <t>02/0002</t>
        </is>
      </c>
      <c r="L6" s="0" t="inlineStr"/>
      <c r="M6" s="0" t="n">
        <v>48.37</v>
      </c>
      <c r="N6" s="0" t="inlineStr">
        <is>
          <t>Lançamentos manuais</t>
        </is>
      </c>
    </row>
    <row r="7">
      <c r="A7" s="0" t="inlineStr">
        <is>
          <t>7</t>
        </is>
      </c>
      <c r="B7" s="0" t="inlineStr">
        <is>
          <t>8044</t>
        </is>
      </c>
      <c r="C7" s="0" t="inlineStr">
        <is>
          <t>LOUROSA PARTICIPACOES E IMOVEIS LTDA</t>
        </is>
      </c>
      <c r="D7" s="0" t="inlineStr">
        <is>
          <t>44911</t>
        </is>
      </c>
      <c r="E7" s="0" t="inlineStr">
        <is>
          <t>Av. Princesa Isabel N. 300 / Loja B Do Bloco A (128 1/1)</t>
        </is>
      </c>
      <c r="F7" s="0" t="inlineStr">
        <is>
          <t>44691370000198</t>
        </is>
      </c>
      <c r="G7" s="0" t="inlineStr">
        <is>
          <t>124</t>
        </is>
      </c>
      <c r="H7" s="0" t="inlineStr">
        <is>
          <t>Empregados</t>
        </is>
      </c>
      <c r="I7" s="0" t="inlineStr">
        <is>
          <t>Ref.Rescisao</t>
        </is>
      </c>
      <c r="J7" s="0" t="inlineStr"/>
      <c r="K7" s="0" t="inlineStr">
        <is>
          <t>05/0012</t>
        </is>
      </c>
      <c r="L7" s="0" t="inlineStr"/>
      <c r="M7" s="0" t="n">
        <v>34.37</v>
      </c>
      <c r="N7" s="0" t="inlineStr">
        <is>
          <t>Lançamentos manuais</t>
        </is>
      </c>
    </row>
    <row r="8">
      <c r="A8" s="0" t="inlineStr">
        <is>
          <t>7</t>
        </is>
      </c>
      <c r="B8" s="0" t="inlineStr">
        <is>
          <t>8044</t>
        </is>
      </c>
      <c r="C8" s="0" t="inlineStr">
        <is>
          <t>LOUROSA PARTICIPACOES E IMOVEIS LTDA</t>
        </is>
      </c>
      <c r="D8" s="0" t="inlineStr">
        <is>
          <t>44954</t>
        </is>
      </c>
      <c r="E8" s="0" t="inlineStr">
        <is>
          <t>Rua Do Rosário N. 112 / 3º Andar (178 4/9)</t>
        </is>
      </c>
      <c r="F8" s="0" t="inlineStr"/>
      <c r="G8" s="0" t="inlineStr">
        <is>
          <t>505</t>
        </is>
      </c>
      <c r="H8" s="0" t="inlineStr">
        <is>
          <t>Cota Extra</t>
        </is>
      </c>
      <c r="I8" s="0" t="inlineStr">
        <is>
          <t>R DO ROSARIO,112 PAV 03-SUP BA</t>
        </is>
      </c>
      <c r="J8" s="0" t="inlineStr">
        <is>
          <t>IRES,57 - Restauracao -</t>
        </is>
      </c>
      <c r="K8" s="0" t="inlineStr">
        <is>
          <t>01/0010</t>
        </is>
      </c>
      <c r="L8" s="0" t="n">
        <v>357</v>
      </c>
      <c r="M8" s="0" t="inlineStr"/>
      <c r="N8" s="0" t="inlineStr">
        <is>
          <t>Lançamentos manuais</t>
        </is>
      </c>
    </row>
    <row r="9">
      <c r="A9" s="0" t="inlineStr">
        <is>
          <t>10</t>
        </is>
      </c>
      <c r="B9" s="0" t="inlineStr">
        <is>
          <t>8044</t>
        </is>
      </c>
      <c r="C9" s="0" t="inlineStr">
        <is>
          <t>LOUROSA PARTICIPACOES E IMOVEIS LTDA</t>
        </is>
      </c>
      <c r="D9" s="0" t="inlineStr">
        <is>
          <t>44830</t>
        </is>
      </c>
      <c r="E9" s="0" t="inlineStr">
        <is>
          <t>Rua Da Passagem N. 83 / Sala 405 (130 1/1)</t>
        </is>
      </c>
      <c r="F9" s="0" t="inlineStr"/>
      <c r="G9" s="0" t="inlineStr">
        <is>
          <t>505</t>
        </is>
      </c>
      <c r="H9" s="0" t="inlineStr">
        <is>
          <t>Cota Extra</t>
        </is>
      </c>
      <c r="I9" s="0" t="inlineStr">
        <is>
          <t>reforma do pc de luz</t>
        </is>
      </c>
      <c r="J9" s="0" t="inlineStr">
        <is>
          <t>R DA PASSAGEM, 83 S/405</t>
        </is>
      </c>
      <c r="K9" s="0" t="inlineStr">
        <is>
          <t>09/0010</t>
        </is>
      </c>
      <c r="L9" s="0" t="n">
        <v>250.97</v>
      </c>
      <c r="M9" s="0" t="inlineStr"/>
      <c r="N9" s="0" t="inlineStr">
        <is>
          <t>Lançamentos manuais</t>
        </is>
      </c>
    </row>
    <row r="10">
      <c r="A10" s="0" t="inlineStr">
        <is>
          <t>10</t>
        </is>
      </c>
      <c r="B10" s="0" t="inlineStr">
        <is>
          <t>8044</t>
        </is>
      </c>
      <c r="C10" s="0" t="inlineStr">
        <is>
          <t>LOUROSA PARTICIPACOES E IMOVEIS LTDA</t>
        </is>
      </c>
      <c r="D10" s="0" t="inlineStr">
        <is>
          <t>99996</t>
        </is>
      </c>
      <c r="E10" s="0" t="inlineStr"/>
      <c r="F10" s="0" t="inlineStr"/>
      <c r="G10" s="0" t="inlineStr">
        <is>
          <t>520</t>
        </is>
      </c>
      <c r="H10" s="0" t="inlineStr">
        <is>
          <t>Deposito em C/C</t>
        </is>
      </c>
      <c r="I10" s="0" t="inlineStr"/>
      <c r="J10" s="0" t="inlineStr"/>
      <c r="K10" s="0" t="inlineStr">
        <is>
          <t>12/2024</t>
        </is>
      </c>
      <c r="L10" s="0" t="n">
        <v>55000</v>
      </c>
      <c r="M10" s="0" t="inlineStr"/>
      <c r="N10" s="0" t="inlineStr">
        <is>
          <t>Lançamentos manuais</t>
        </is>
      </c>
    </row>
    <row r="11">
      <c r="A11" s="0" t="inlineStr">
        <is>
          <t>22</t>
        </is>
      </c>
      <c r="B11" s="0" t="inlineStr">
        <is>
          <t>8044</t>
        </is>
      </c>
      <c r="C11" s="0" t="inlineStr">
        <is>
          <t>LOUROSA PARTICIPACOES E IMOVEIS LTDA</t>
        </is>
      </c>
      <c r="D11" s="0" t="inlineStr">
        <is>
          <t>99996</t>
        </is>
      </c>
      <c r="E11" s="0" t="inlineStr"/>
      <c r="F11" s="0" t="inlineStr"/>
      <c r="G11" s="0" t="inlineStr">
        <is>
          <t>520</t>
        </is>
      </c>
      <c r="H11" s="0" t="inlineStr">
        <is>
          <t>Deposito em C/C</t>
        </is>
      </c>
      <c r="I11" s="0" t="inlineStr"/>
      <c r="J11" s="0" t="inlineStr"/>
      <c r="K11" s="0" t="inlineStr">
        <is>
          <t>12/2024</t>
        </is>
      </c>
      <c r="L11" s="0" t="n">
        <v>15900</v>
      </c>
      <c r="M11" s="0" t="inlineStr"/>
      <c r="N11" s="0" t="inlineStr">
        <is>
          <t>Lançamentos manuais</t>
        </is>
      </c>
    </row>
    <row r="12">
      <c r="A12" s="0" t="inlineStr">
        <is>
          <t>22</t>
        </is>
      </c>
      <c r="B12" s="0" t="inlineStr">
        <is>
          <t>8044</t>
        </is>
      </c>
      <c r="C12" s="0" t="inlineStr">
        <is>
          <t>LOUROSA PARTICIPACOES E IMOVEIS LTDA</t>
        </is>
      </c>
      <c r="D12" s="0" t="inlineStr">
        <is>
          <t>44644</t>
        </is>
      </c>
      <c r="E12" s="0" t="inlineStr">
        <is>
          <t>R VISCONDE DE INHAUMA,62 2ºe3ºANDARES</t>
        </is>
      </c>
      <c r="F12" s="0" t="inlineStr"/>
      <c r="G12" s="0" t="inlineStr">
        <is>
          <t>541</t>
        </is>
      </c>
      <c r="H12" s="0" t="inlineStr">
        <is>
          <t>Iptu Divida Ativa</t>
        </is>
      </c>
      <c r="I12" s="0" t="inlineStr">
        <is>
          <t>2021 Pav 2 45%</t>
        </is>
      </c>
      <c r="J12" s="0" t="inlineStr">
        <is>
          <t>CDA 01/071.491/2022-00</t>
        </is>
      </c>
      <c r="K12" s="0" t="inlineStr">
        <is>
          <t>31/0048</t>
        </is>
      </c>
      <c r="L12" s="0" t="n">
        <v>206.99</v>
      </c>
      <c r="M12" s="0" t="inlineStr"/>
      <c r="N12" s="0" t="inlineStr">
        <is>
          <t>Lançamentos manuais</t>
        </is>
      </c>
    </row>
    <row r="13">
      <c r="A13" s="0" t="inlineStr">
        <is>
          <t>22</t>
        </is>
      </c>
      <c r="B13" s="0" t="inlineStr">
        <is>
          <t>8044</t>
        </is>
      </c>
      <c r="C13" s="0" t="inlineStr">
        <is>
          <t>LOUROSA PARTICIPACOES E IMOVEIS LTDA</t>
        </is>
      </c>
      <c r="D13" s="0" t="inlineStr">
        <is>
          <t>44644</t>
        </is>
      </c>
      <c r="E13" s="0" t="inlineStr">
        <is>
          <t>R VISCONDE DE INHAUMA,62 2ºe3ºANDARES</t>
        </is>
      </c>
      <c r="F13" s="0" t="inlineStr"/>
      <c r="G13" s="0" t="inlineStr">
        <is>
          <t>541</t>
        </is>
      </c>
      <c r="H13" s="0" t="inlineStr">
        <is>
          <t>Iptu Divida Ativa</t>
        </is>
      </c>
      <c r="I13" s="0" t="inlineStr">
        <is>
          <t>2021 Pav 3 45%</t>
        </is>
      </c>
      <c r="J13" s="0" t="inlineStr">
        <is>
          <t>CDA 01/071.490/2022-00</t>
        </is>
      </c>
      <c r="K13" s="0" t="inlineStr">
        <is>
          <t>31/0048</t>
        </is>
      </c>
      <c r="L13" s="0" t="n">
        <v>206.99</v>
      </c>
      <c r="M13" s="0" t="inlineStr"/>
      <c r="N13" s="0" t="inlineStr">
        <is>
          <t>Lançamentos manuais</t>
        </is>
      </c>
    </row>
    <row r="14">
      <c r="A14" s="0" t="inlineStr">
        <is>
          <t>22</t>
        </is>
      </c>
      <c r="B14" s="0" t="inlineStr">
        <is>
          <t>8044</t>
        </is>
      </c>
      <c r="C14" s="0" t="inlineStr">
        <is>
          <t>LOUROSA PARTICIPACOES E IMOVEIS LTDA</t>
        </is>
      </c>
      <c r="D14" s="0" t="inlineStr">
        <is>
          <t>44644</t>
        </is>
      </c>
      <c r="E14" s="0" t="inlineStr">
        <is>
          <t>R VISCONDE DE INHAUMA,62 2ºe3ºANDARES</t>
        </is>
      </c>
      <c r="F14" s="0" t="inlineStr"/>
      <c r="G14" s="0" t="inlineStr">
        <is>
          <t>541</t>
        </is>
      </c>
      <c r="H14" s="0" t="inlineStr">
        <is>
          <t>Iptu Divida Ativa</t>
        </is>
      </c>
      <c r="I14" s="0" t="inlineStr">
        <is>
          <t>2020 (PAV 2) 45%</t>
        </is>
      </c>
      <c r="J14" s="0" t="inlineStr">
        <is>
          <t>CDA 01/073.296/2021</t>
        </is>
      </c>
      <c r="K14" s="0" t="inlineStr">
        <is>
          <t>38/0048</t>
        </is>
      </c>
      <c r="L14" s="0" t="n">
        <v>157.02</v>
      </c>
      <c r="M14" s="0" t="inlineStr"/>
      <c r="N14" s="0" t="inlineStr">
        <is>
          <t>Lançamentos manuais</t>
        </is>
      </c>
    </row>
    <row r="15">
      <c r="A15" s="0" t="inlineStr">
        <is>
          <t>22</t>
        </is>
      </c>
      <c r="B15" s="0" t="inlineStr">
        <is>
          <t>8044</t>
        </is>
      </c>
      <c r="C15" s="0" t="inlineStr">
        <is>
          <t>LOUROSA PARTICIPACOES E IMOVEIS LTDA</t>
        </is>
      </c>
      <c r="D15" s="0" t="inlineStr">
        <is>
          <t>44644</t>
        </is>
      </c>
      <c r="E15" s="0" t="inlineStr">
        <is>
          <t>R VISCONDE DE INHAUMA,62 2ºe3ºANDARES</t>
        </is>
      </c>
      <c r="F15" s="0" t="inlineStr"/>
      <c r="G15" s="0" t="inlineStr">
        <is>
          <t>541</t>
        </is>
      </c>
      <c r="H15" s="0" t="inlineStr">
        <is>
          <t>Iptu Divida Ativa</t>
        </is>
      </c>
      <c r="I15" s="0" t="inlineStr">
        <is>
          <t>2020 (PAV 3) 45%</t>
        </is>
      </c>
      <c r="J15" s="0" t="inlineStr">
        <is>
          <t>CDA 01/073.295/2024</t>
        </is>
      </c>
      <c r="K15" s="0" t="inlineStr">
        <is>
          <t>38/0048</t>
        </is>
      </c>
      <c r="L15" s="0" t="n">
        <v>157.02</v>
      </c>
      <c r="M15" s="0" t="inlineStr"/>
      <c r="N15" s="0" t="inlineStr">
        <is>
          <t>Lançamentos manuais</t>
        </is>
      </c>
    </row>
    <row r="16">
      <c r="A16" s="0" t="inlineStr">
        <is>
          <t>22</t>
        </is>
      </c>
      <c r="B16" s="0" t="inlineStr">
        <is>
          <t>8044</t>
        </is>
      </c>
      <c r="C16" s="0" t="inlineStr">
        <is>
          <t>LOUROSA PARTICIPACOES E IMOVEIS LTDA</t>
        </is>
      </c>
      <c r="D16" s="0" t="inlineStr">
        <is>
          <t>44679</t>
        </is>
      </c>
      <c r="E16" s="0" t="inlineStr">
        <is>
          <t>Rua Da Quitanda N. 161  /  Loja  A (156 1/3)</t>
        </is>
      </c>
      <c r="F16" s="0" t="inlineStr"/>
      <c r="G16" s="0" t="inlineStr">
        <is>
          <t>541</t>
        </is>
      </c>
      <c r="H16" s="0" t="inlineStr">
        <is>
          <t>Iptu Divida Ativa</t>
        </is>
      </c>
      <c r="I16" s="0" t="inlineStr">
        <is>
          <t>2020/201</t>
        </is>
      </c>
      <c r="J16" s="0" t="inlineStr">
        <is>
          <t>CDA 01/055.371/2022-00</t>
        </is>
      </c>
      <c r="K16" s="0" t="inlineStr">
        <is>
          <t>18/0048</t>
        </is>
      </c>
      <c r="L16" s="0" t="n">
        <v>1911.5</v>
      </c>
      <c r="M16" s="0" t="inlineStr"/>
      <c r="N16" s="0" t="inlineStr">
        <is>
          <t>Lançamentos manuais</t>
        </is>
      </c>
    </row>
    <row r="17">
      <c r="A17" s="0" t="inlineStr">
        <is>
          <t>22</t>
        </is>
      </c>
      <c r="B17" s="0" t="inlineStr">
        <is>
          <t>8044</t>
        </is>
      </c>
      <c r="C17" s="0" t="inlineStr">
        <is>
          <t>LOUROSA PARTICIPACOES E IMOVEIS LTDA</t>
        </is>
      </c>
      <c r="D17" s="0" t="inlineStr">
        <is>
          <t>44687</t>
        </is>
      </c>
      <c r="E17" s="0" t="inlineStr">
        <is>
          <t>Rua Da Quitanda N. 161  /  Sala 201  E  Sala 301 (156 2.3/3)</t>
        </is>
      </c>
      <c r="F17" s="0" t="inlineStr"/>
      <c r="G17" s="0" t="inlineStr">
        <is>
          <t>541</t>
        </is>
      </c>
      <c r="H17" s="0" t="inlineStr">
        <is>
          <t>Iptu Divida Ativa</t>
        </is>
      </c>
      <c r="I17" s="0" t="inlineStr">
        <is>
          <t>2006, 2020 e 2021</t>
        </is>
      </c>
      <c r="J17" s="0" t="inlineStr">
        <is>
          <t>CDA 01/055.350/2022-00</t>
        </is>
      </c>
      <c r="K17" s="0" t="inlineStr">
        <is>
          <t>18/0048</t>
        </is>
      </c>
      <c r="L17" s="0" t="n">
        <v>2298.77</v>
      </c>
      <c r="M17" s="0" t="inlineStr"/>
      <c r="N17" s="0" t="inlineStr">
        <is>
          <t>Lançamentos manuais</t>
        </is>
      </c>
    </row>
    <row r="18">
      <c r="A18" s="0" t="inlineStr">
        <is>
          <t>22</t>
        </is>
      </c>
      <c r="B18" s="0" t="inlineStr">
        <is>
          <t>8044</t>
        </is>
      </c>
      <c r="C18" s="0" t="inlineStr">
        <is>
          <t>LOUROSA PARTICIPACOES E IMOVEIS LTDA</t>
        </is>
      </c>
      <c r="D18" s="0" t="inlineStr">
        <is>
          <t>44709</t>
        </is>
      </c>
      <c r="E18" s="0" t="inlineStr">
        <is>
          <t>Rua Da Quitanda N. 191 / Loja A (201 1/1)</t>
        </is>
      </c>
      <c r="F18" s="0" t="inlineStr"/>
      <c r="G18" s="0" t="inlineStr">
        <is>
          <t>541</t>
        </is>
      </c>
      <c r="H18" s="0" t="inlineStr">
        <is>
          <t>Iptu Divida Ativa</t>
        </is>
      </c>
      <c r="I18" s="0" t="inlineStr">
        <is>
          <t>2020, 2021 e 2022</t>
        </is>
      </c>
      <c r="J18" s="0" t="inlineStr">
        <is>
          <t>CDA 01/055.654/2023-00</t>
        </is>
      </c>
      <c r="K18" s="0" t="inlineStr">
        <is>
          <t>18/0048</t>
        </is>
      </c>
      <c r="L18" s="0" t="n">
        <v>1171.43</v>
      </c>
      <c r="M18" s="0" t="inlineStr"/>
      <c r="N18" s="0" t="inlineStr">
        <is>
          <t>Lançamentos manuais</t>
        </is>
      </c>
    </row>
    <row r="19">
      <c r="A19" s="0" t="inlineStr">
        <is>
          <t>22</t>
        </is>
      </c>
      <c r="B19" s="0" t="inlineStr">
        <is>
          <t>8044</t>
        </is>
      </c>
      <c r="C19" s="0" t="inlineStr">
        <is>
          <t>LOUROSA PARTICIPACOES E IMOVEIS LTDA</t>
        </is>
      </c>
      <c r="D19" s="0" t="inlineStr">
        <is>
          <t>44750</t>
        </is>
      </c>
      <c r="E19" s="0" t="inlineStr">
        <is>
          <t>Praça Mauá N. 15 / 2º, 3º E 4º  Andares (134 2/2)</t>
        </is>
      </c>
      <c r="F19" s="0" t="inlineStr"/>
      <c r="G19" s="0" t="inlineStr">
        <is>
          <t>541</t>
        </is>
      </c>
      <c r="H19" s="0" t="inlineStr">
        <is>
          <t>Iptu Divida Ativa</t>
        </is>
      </c>
      <c r="I19" s="0" t="inlineStr">
        <is>
          <t>21/22-Hotel CD 01/068465/2023</t>
        </is>
      </c>
      <c r="J19" s="0" t="inlineStr">
        <is>
          <t>PCA MAUA, 15-2,3 E 4 PAVIMENTO</t>
        </is>
      </c>
      <c r="K19" s="0" t="inlineStr">
        <is>
          <t>18/0048</t>
        </is>
      </c>
      <c r="L19" s="0" t="n">
        <v>2527.21</v>
      </c>
      <c r="M19" s="0" t="inlineStr"/>
      <c r="N19" s="0" t="inlineStr">
        <is>
          <t>Lançamentos manuais</t>
        </is>
      </c>
    </row>
    <row r="20">
      <c r="A20" s="0" t="inlineStr">
        <is>
          <t>22</t>
        </is>
      </c>
      <c r="B20" s="0" t="inlineStr">
        <is>
          <t>8044</t>
        </is>
      </c>
      <c r="C20" s="0" t="inlineStr">
        <is>
          <t>LOUROSA PARTICIPACOES E IMOVEIS LTDA</t>
        </is>
      </c>
      <c r="D20" s="0" t="inlineStr">
        <is>
          <t>44750</t>
        </is>
      </c>
      <c r="E20" s="0" t="inlineStr">
        <is>
          <t>Praça Mauá N. 15 / 2º, 3º E 4º  Andares (134 2/2)</t>
        </is>
      </c>
      <c r="F20" s="0" t="inlineStr"/>
      <c r="G20" s="0" t="inlineStr">
        <is>
          <t>541</t>
        </is>
      </c>
      <c r="H20" s="0" t="inlineStr">
        <is>
          <t>Iptu Divida Ativa</t>
        </is>
      </c>
      <c r="I20" s="0" t="inlineStr">
        <is>
          <t>2020 CDA 01/079.534/2021</t>
        </is>
      </c>
      <c r="J20" s="0" t="inlineStr">
        <is>
          <t>PCA MAUA, 15-2,3 E 4 PAVIMENTO</t>
        </is>
      </c>
      <c r="K20" s="0" t="inlineStr">
        <is>
          <t>38/0048</t>
        </is>
      </c>
      <c r="L20" s="0" t="n">
        <v>1070.56</v>
      </c>
      <c r="M20" s="0" t="inlineStr"/>
      <c r="N20" s="0" t="inlineStr">
        <is>
          <t>Lançamentos manuais</t>
        </is>
      </c>
    </row>
    <row r="21">
      <c r="A21" s="0" t="inlineStr">
        <is>
          <t>22</t>
        </is>
      </c>
      <c r="B21" s="0" t="inlineStr">
        <is>
          <t>8044</t>
        </is>
      </c>
      <c r="C21" s="0" t="inlineStr">
        <is>
          <t>LOUROSA PARTICIPACOES E IMOVEIS LTDA</t>
        </is>
      </c>
      <c r="D21" s="0" t="inlineStr">
        <is>
          <t>44911</t>
        </is>
      </c>
      <c r="E21" s="0" t="inlineStr">
        <is>
          <t>Av. Princesa Isabel N. 300 / Loja B Do Bloco A (128 1/1)</t>
        </is>
      </c>
      <c r="F21" s="0" t="inlineStr"/>
      <c r="G21" s="0" t="inlineStr">
        <is>
          <t>541</t>
        </is>
      </c>
      <c r="H21" s="0" t="inlineStr">
        <is>
          <t>Iptu Divida Ativa</t>
        </is>
      </c>
      <c r="I21" s="0" t="inlineStr">
        <is>
          <t>2021 CDA 01/038.662/2024</t>
        </is>
      </c>
      <c r="J21" s="0" t="inlineStr">
        <is>
          <t>AV PRINCESA ISABEL,300 BL.A LJ</t>
        </is>
      </c>
      <c r="K21" s="0" t="inlineStr">
        <is>
          <t>09/0048</t>
        </is>
      </c>
      <c r="L21" s="0" t="n">
        <v>296.05</v>
      </c>
      <c r="M21" s="0" t="inlineStr"/>
      <c r="N21" s="0" t="inlineStr">
        <is>
          <t>Lançamentos manuais</t>
        </is>
      </c>
    </row>
    <row r="22">
      <c r="A22" s="0" t="inlineStr">
        <is>
          <t>22</t>
        </is>
      </c>
      <c r="B22" s="0" t="inlineStr">
        <is>
          <t>8044</t>
        </is>
      </c>
      <c r="C22" s="0" t="inlineStr">
        <is>
          <t>LOUROSA PARTICIPACOES E IMOVEIS LTDA</t>
        </is>
      </c>
      <c r="D22" s="0" t="inlineStr">
        <is>
          <t>45136</t>
        </is>
      </c>
      <c r="E22" s="0" t="inlineStr">
        <is>
          <t>Rua Sete De Setembro N. 92 / Loja 112 (137 1/1)</t>
        </is>
      </c>
      <c r="F22" s="0" t="inlineStr"/>
      <c r="G22" s="0" t="inlineStr">
        <is>
          <t>541</t>
        </is>
      </c>
      <c r="H22" s="0" t="inlineStr">
        <is>
          <t>Iptu Divida Ativa</t>
        </is>
      </c>
      <c r="I22" s="0" t="inlineStr">
        <is>
          <t>2020/2021 e2022</t>
        </is>
      </c>
      <c r="J22" s="0" t="inlineStr">
        <is>
          <t>CDA01/083.758/2023</t>
        </is>
      </c>
      <c r="K22" s="0" t="inlineStr">
        <is>
          <t>18/0024</t>
        </is>
      </c>
      <c r="L22" s="0" t="n">
        <v>551.83</v>
      </c>
      <c r="M22" s="0" t="inlineStr"/>
      <c r="N22" s="0" t="inlineStr">
        <is>
          <t>Lançamentos manuais</t>
        </is>
      </c>
    </row>
    <row r="23">
      <c r="A23" s="0" t="inlineStr">
        <is>
          <t>22</t>
        </is>
      </c>
      <c r="B23" s="0" t="inlineStr">
        <is>
          <t>8044</t>
        </is>
      </c>
      <c r="C23" s="0" t="inlineStr">
        <is>
          <t>LOUROSA PARTICIPACOES E IMOVEIS LTDA</t>
        </is>
      </c>
      <c r="D23" s="0" t="inlineStr">
        <is>
          <t>45144</t>
        </is>
      </c>
      <c r="E23" s="0" t="inlineStr">
        <is>
          <t>Rua São Francisco Xavier N. 194 / Loja (132 1/5)</t>
        </is>
      </c>
      <c r="F23" s="0" t="inlineStr">
        <is>
          <t>09113343000137</t>
        </is>
      </c>
      <c r="G23" s="0" t="inlineStr">
        <is>
          <t>541</t>
        </is>
      </c>
      <c r="H23" s="0" t="inlineStr">
        <is>
          <t>Iptu Divida Ativa</t>
        </is>
      </c>
      <c r="I23" s="0" t="inlineStr">
        <is>
          <t>2020 (N 194)</t>
        </is>
      </c>
      <c r="J23" s="0" t="inlineStr">
        <is>
          <t>CDA 01/147.747/2021</t>
        </is>
      </c>
      <c r="K23" s="0" t="inlineStr">
        <is>
          <t>38/0048</t>
        </is>
      </c>
      <c r="L23" s="0" t="n">
        <v>95.40000000000001</v>
      </c>
      <c r="M23" s="0" t="inlineStr"/>
      <c r="N23" s="0" t="inlineStr">
        <is>
          <t>Lançamentos manuais</t>
        </is>
      </c>
    </row>
    <row r="24">
      <c r="A24" s="0" t="inlineStr">
        <is>
          <t>22</t>
        </is>
      </c>
      <c r="B24" s="0" t="inlineStr">
        <is>
          <t>8044</t>
        </is>
      </c>
      <c r="C24" s="0" t="inlineStr">
        <is>
          <t>LOUROSA PARTICIPACOES E IMOVEIS LTDA</t>
        </is>
      </c>
      <c r="D24" s="0" t="inlineStr">
        <is>
          <t>45152</t>
        </is>
      </c>
      <c r="E24" s="0" t="inlineStr">
        <is>
          <t>Rua São Francisco Xavier N. 196 / Loja E Casa 155 Complemento (132 2.5/5)</t>
        </is>
      </c>
      <c r="F24" s="0" t="inlineStr">
        <is>
          <t>09113343000137</t>
        </is>
      </c>
      <c r="G24" s="0" t="inlineStr">
        <is>
          <t>541</t>
        </is>
      </c>
      <c r="H24" s="0" t="inlineStr">
        <is>
          <t>Iptu Divida Ativa</t>
        </is>
      </c>
      <c r="I24" s="0" t="inlineStr">
        <is>
          <t>2020 (196) 64%</t>
        </is>
      </c>
      <c r="J24" s="0" t="inlineStr"/>
      <c r="K24" s="0" t="inlineStr">
        <is>
          <t>38/0048</t>
        </is>
      </c>
      <c r="L24" s="0" t="n">
        <v>567.28</v>
      </c>
      <c r="M24" s="0" t="inlineStr"/>
      <c r="N24" s="0" t="inlineStr">
        <is>
          <t>Lançamentos manuais</t>
        </is>
      </c>
    </row>
    <row r="25">
      <c r="A25" s="0" t="inlineStr">
        <is>
          <t>24</t>
        </is>
      </c>
      <c r="B25" s="0" t="inlineStr">
        <is>
          <t>8044</t>
        </is>
      </c>
      <c r="C25" s="0" t="inlineStr">
        <is>
          <t>LOUROSA PARTICIPACOES E IMOVEIS LTDA</t>
        </is>
      </c>
      <c r="D25" s="0" t="inlineStr">
        <is>
          <t>99996</t>
        </is>
      </c>
      <c r="E25" s="0" t="inlineStr"/>
      <c r="F25" s="0" t="inlineStr"/>
      <c r="G25" s="0" t="inlineStr">
        <is>
          <t>502</t>
        </is>
      </c>
      <c r="H25" s="0" t="inlineStr">
        <is>
          <t>Condominio</t>
        </is>
      </c>
      <c r="I25" s="0" t="inlineStr">
        <is>
          <t>33,33% R 7 Set,92 Lj 112- Lou</t>
        </is>
      </c>
      <c r="J25" s="0" t="inlineStr">
        <is>
          <t>rosa pagando Esp. Antº Silva</t>
        </is>
      </c>
      <c r="K25" s="0" t="inlineStr">
        <is>
          <t>01/2025</t>
        </is>
      </c>
      <c r="L25" s="0" t="n">
        <v>602.25</v>
      </c>
      <c r="M25" s="0" t="inlineStr"/>
      <c r="N25" s="0" t="inlineStr">
        <is>
          <t>Lançamentos manuais</t>
        </is>
      </c>
    </row>
    <row r="26">
      <c r="A26" s="0" t="inlineStr">
        <is>
          <t>24</t>
        </is>
      </c>
      <c r="B26" s="0" t="inlineStr">
        <is>
          <t>8044</t>
        </is>
      </c>
      <c r="C26" s="0" t="inlineStr">
        <is>
          <t>LOUROSA PARTICIPACOES E IMOVEIS LTDA</t>
        </is>
      </c>
      <c r="D26" s="0" t="inlineStr">
        <is>
          <t>99996</t>
        </is>
      </c>
      <c r="E26" s="0" t="inlineStr"/>
      <c r="F26" s="0" t="inlineStr"/>
      <c r="G26" s="0" t="inlineStr">
        <is>
          <t>512</t>
        </is>
      </c>
      <c r="H26" s="0" t="inlineStr">
        <is>
          <t>Tx. Expediente</t>
        </is>
      </c>
      <c r="I26" s="0" t="inlineStr">
        <is>
          <t>33,33% R 7 Set,92 Lj 112 - Lou</t>
        </is>
      </c>
      <c r="J26" s="0" t="inlineStr">
        <is>
          <t>rosa pagando</t>
        </is>
      </c>
      <c r="K26" s="0" t="inlineStr">
        <is>
          <t>01/2025</t>
        </is>
      </c>
      <c r="L26" s="0" t="n">
        <v>3.35</v>
      </c>
      <c r="M26" s="0" t="inlineStr"/>
      <c r="N26" s="0" t="inlineStr">
        <is>
          <t>Lançamentos manuais</t>
        </is>
      </c>
    </row>
    <row r="27">
      <c r="A27" s="0" t="inlineStr">
        <is>
          <t>24</t>
        </is>
      </c>
      <c r="B27" s="0" t="inlineStr">
        <is>
          <t>8044</t>
        </is>
      </c>
      <c r="C27" s="0" t="inlineStr">
        <is>
          <t>LOUROSA PARTICIPACOES E IMOVEIS LTDA</t>
        </is>
      </c>
      <c r="D27" s="0" t="inlineStr">
        <is>
          <t>99996</t>
        </is>
      </c>
      <c r="E27" s="0" t="inlineStr"/>
      <c r="F27" s="0" t="inlineStr"/>
      <c r="G27" s="0" t="inlineStr">
        <is>
          <t>506</t>
        </is>
      </c>
      <c r="H27" s="0" t="inlineStr">
        <is>
          <t>Consumo Luz</t>
        </is>
      </c>
      <c r="I27" s="0" t="inlineStr">
        <is>
          <t>33,33% R 7 Set,92 Lj 112 - Lou</t>
        </is>
      </c>
      <c r="J27" s="0" t="inlineStr">
        <is>
          <t>rosa pagando Esp. Antº Silva</t>
        </is>
      </c>
      <c r="K27" s="0" t="inlineStr">
        <is>
          <t>12/2024</t>
        </is>
      </c>
      <c r="L27" s="0" t="n">
        <v>36.12</v>
      </c>
      <c r="M27" s="0" t="inlineStr"/>
      <c r="N27" s="0" t="inlineStr">
        <is>
          <t>Lançamentos manuais</t>
        </is>
      </c>
    </row>
    <row r="28">
      <c r="A28" s="0" t="inlineStr">
        <is>
          <t>24</t>
        </is>
      </c>
      <c r="B28" s="0" t="inlineStr">
        <is>
          <t>8044</t>
        </is>
      </c>
      <c r="C28" s="0" t="inlineStr">
        <is>
          <t>LOUROSA PARTICIPACOES E IMOVEIS LTDA</t>
        </is>
      </c>
      <c r="D28" s="0" t="inlineStr">
        <is>
          <t>99996</t>
        </is>
      </c>
      <c r="E28" s="0" t="inlineStr"/>
      <c r="F28" s="0" t="inlineStr"/>
      <c r="G28" s="0" t="inlineStr">
        <is>
          <t>541</t>
        </is>
      </c>
      <c r="H28" s="0" t="inlineStr">
        <is>
          <t>Iptu Divida Ativa</t>
        </is>
      </c>
      <c r="I28" s="0" t="inlineStr">
        <is>
          <t>33,33% R 7 Set,92 Lj 112 - Lou</t>
        </is>
      </c>
      <c r="J28" s="0" t="inlineStr">
        <is>
          <t>rosa pagando Esp. Antº Silva</t>
        </is>
      </c>
      <c r="K28" s="0" t="inlineStr">
        <is>
          <t>18/0024</t>
        </is>
      </c>
      <c r="L28" s="0" t="n">
        <v>551.66</v>
      </c>
      <c r="M28" s="0" t="inlineStr"/>
      <c r="N28" s="0" t="inlineStr">
        <is>
          <t>Lançamentos manuais</t>
        </is>
      </c>
    </row>
    <row r="29">
      <c r="A29" s="0" t="inlineStr">
        <is>
          <t>24</t>
        </is>
      </c>
      <c r="B29" s="0" t="inlineStr">
        <is>
          <t>8044</t>
        </is>
      </c>
      <c r="C29" s="0" t="inlineStr">
        <is>
          <t>LOUROSA PARTICIPACOES E IMOVEIS LTDA</t>
        </is>
      </c>
      <c r="D29" s="0" t="inlineStr">
        <is>
          <t>99996</t>
        </is>
      </c>
      <c r="E29" s="0" t="inlineStr"/>
      <c r="F29" s="0" t="inlineStr"/>
      <c r="G29" s="0" t="inlineStr">
        <is>
          <t>516</t>
        </is>
      </c>
      <c r="H29" s="0" t="inlineStr">
        <is>
          <t>Anuncio</t>
        </is>
      </c>
      <c r="I29" s="0" t="inlineStr">
        <is>
          <t>Zap+33,33 R 7 Set 92 lj 112</t>
        </is>
      </c>
      <c r="J29" s="0" t="inlineStr">
        <is>
          <t>Lourosa pagando Esp Antonio</t>
        </is>
      </c>
      <c r="K29" s="0" t="inlineStr">
        <is>
          <t>01/2025</t>
        </is>
      </c>
      <c r="L29" s="0" t="n">
        <v>30.99</v>
      </c>
      <c r="M29" s="0" t="inlineStr"/>
      <c r="N29" s="0" t="inlineStr">
        <is>
          <t>Lançamentos manuais</t>
        </is>
      </c>
    </row>
    <row r="30">
      <c r="A30" s="0" t="inlineStr">
        <is>
          <t>30</t>
        </is>
      </c>
      <c r="B30" s="0" t="inlineStr">
        <is>
          <t>8044</t>
        </is>
      </c>
      <c r="C30" s="0" t="inlineStr">
        <is>
          <t>LOUROSA PARTICIPACOES E IMOVEIS LTDA</t>
        </is>
      </c>
      <c r="D30" s="0" t="inlineStr">
        <is>
          <t>44830</t>
        </is>
      </c>
      <c r="E30" s="0" t="inlineStr">
        <is>
          <t>Rua Da Passagem N. 83 / Sala 405 (130 1/1)</t>
        </is>
      </c>
      <c r="F30" s="0" t="inlineStr">
        <is>
          <t>73881686720</t>
        </is>
      </c>
      <c r="G30" s="0" t="inlineStr">
        <is>
          <t>702</t>
        </is>
      </c>
      <c r="H30" s="0" t="inlineStr">
        <is>
          <t>Dev. Condominio</t>
        </is>
      </c>
      <c r="I30" s="0" t="inlineStr"/>
      <c r="J30" s="0" t="inlineStr"/>
      <c r="K30" s="0" t="inlineStr">
        <is>
          <t>01/2025</t>
        </is>
      </c>
      <c r="L30" s="0" t="inlineStr"/>
      <c r="M30" s="0" t="n">
        <v>-23.61</v>
      </c>
      <c r="N30" s="0" t="inlineStr">
        <is>
          <t>Lançamentos manuais</t>
        </is>
      </c>
    </row>
    <row r="31">
      <c r="A31" s="0" t="inlineStr">
        <is>
          <t>31</t>
        </is>
      </c>
      <c r="B31" s="0" t="inlineStr">
        <is>
          <t>8044</t>
        </is>
      </c>
      <c r="C31" s="0" t="inlineStr">
        <is>
          <t>LOUROSA PARTICIPACOES E IMOVEIS LTDA</t>
        </is>
      </c>
      <c r="D31" s="0" t="inlineStr">
        <is>
          <t>44784</t>
        </is>
      </c>
      <c r="E31" s="0" t="inlineStr">
        <is>
          <t>Rua Pedro I N. 14 / Loja (171 1/2)</t>
        </is>
      </c>
      <c r="F31" s="0" t="inlineStr">
        <is>
          <t>53085822000189</t>
        </is>
      </c>
      <c r="G31" s="0" t="inlineStr">
        <is>
          <t>117</t>
        </is>
      </c>
      <c r="H31" s="0" t="inlineStr">
        <is>
          <t>Diversos</t>
        </is>
      </c>
      <c r="I31" s="0" t="inlineStr">
        <is>
          <t>Sistema de Alarme</t>
        </is>
      </c>
      <c r="J31" s="0" t="inlineStr"/>
      <c r="K31" s="0" t="inlineStr">
        <is>
          <t>12/2024</t>
        </is>
      </c>
      <c r="L31" s="0" t="inlineStr"/>
      <c r="M31" s="0" t="n">
        <v>56.71</v>
      </c>
      <c r="N31" s="0" t="inlineStr">
        <is>
          <t>Lançamentos manuais</t>
        </is>
      </c>
    </row>
    <row r="32">
      <c r="A32" s="0" t="inlineStr">
        <is>
          <t>31</t>
        </is>
      </c>
      <c r="B32" s="0" t="inlineStr">
        <is>
          <t>8044</t>
        </is>
      </c>
      <c r="C32" s="0" t="inlineStr">
        <is>
          <t>LOUROSA PARTICIPACOES E IMOVEIS LTDA</t>
        </is>
      </c>
      <c r="D32" s="0" t="inlineStr">
        <is>
          <t>45250</t>
        </is>
      </c>
      <c r="E32" s="0" t="inlineStr">
        <is>
          <t>Rua Miguel Couto N. 143 / 2º Andar (121 3/3)</t>
        </is>
      </c>
      <c r="F32" s="0" t="inlineStr">
        <is>
          <t>19625264000169</t>
        </is>
      </c>
      <c r="G32" s="0" t="inlineStr">
        <is>
          <t>127</t>
        </is>
      </c>
      <c r="H32" s="0" t="inlineStr">
        <is>
          <t>Taxa Lixo</t>
        </is>
      </c>
      <c r="I32" s="0" t="inlineStr">
        <is>
          <t>2025</t>
        </is>
      </c>
      <c r="J32" s="0" t="inlineStr"/>
      <c r="K32" s="0" t="inlineStr">
        <is>
          <t>01/0010</t>
        </is>
      </c>
      <c r="L32" s="0" t="inlineStr"/>
      <c r="M32" s="0" t="n">
        <v>9.34</v>
      </c>
      <c r="N32" s="0" t="inlineStr">
        <is>
          <t>Lançamentos manuais</t>
        </is>
      </c>
    </row>
    <row r="33">
      <c r="A33" s="0" t="inlineStr">
        <is>
          <t>31</t>
        </is>
      </c>
      <c r="B33" s="0" t="inlineStr">
        <is>
          <t>8044</t>
        </is>
      </c>
      <c r="C33" s="0" t="inlineStr">
        <is>
          <t>LOUROSA PARTICIPACOES E IMOVEIS LTDA</t>
        </is>
      </c>
      <c r="D33" s="0" t="inlineStr">
        <is>
          <t>44792</t>
        </is>
      </c>
      <c r="E33" s="0" t="inlineStr">
        <is>
          <t>R MIGUEL COUTO, 143 LJA</t>
        </is>
      </c>
      <c r="F33" s="0" t="inlineStr">
        <is>
          <t>26998448000130</t>
        </is>
      </c>
      <c r="G33" s="0" t="inlineStr">
        <is>
          <t>127</t>
        </is>
      </c>
      <c r="H33" s="0" t="inlineStr">
        <is>
          <t>Taxa Lixo</t>
        </is>
      </c>
      <c r="I33" s="0" t="inlineStr">
        <is>
          <t>Ref.2025</t>
        </is>
      </c>
      <c r="J33" s="0" t="inlineStr"/>
      <c r="K33" s="0" t="inlineStr">
        <is>
          <t>01/0010</t>
        </is>
      </c>
      <c r="L33" s="0" t="inlineStr"/>
      <c r="M33" s="0" t="n">
        <v>18.67</v>
      </c>
      <c r="N33" s="0" t="inlineStr">
        <is>
          <t>Lançamentos manuais</t>
        </is>
      </c>
    </row>
    <row r="34">
      <c r="A34" s="0" t="inlineStr">
        <is>
          <t>31</t>
        </is>
      </c>
      <c r="B34" s="0" t="inlineStr">
        <is>
          <t>8044</t>
        </is>
      </c>
      <c r="C34" s="0" t="inlineStr">
        <is>
          <t>LOUROSA PARTICIPACOES E IMOVEIS LTDA</t>
        </is>
      </c>
      <c r="D34" s="0" t="inlineStr">
        <is>
          <t>44814</t>
        </is>
      </c>
      <c r="E34" s="0" t="inlineStr">
        <is>
          <t>Rua Dr. Paulo Fróes Machado N. 95 - Loja - Nova Iguaçu (193 1/1)</t>
        </is>
      </c>
      <c r="F34" s="0" t="inlineStr">
        <is>
          <t>08391795705</t>
        </is>
      </c>
      <c r="G34" s="0" t="inlineStr">
        <is>
          <t>702</t>
        </is>
      </c>
      <c r="H34" s="0" t="inlineStr">
        <is>
          <t>Dev. Condominio</t>
        </is>
      </c>
      <c r="I34" s="0" t="inlineStr"/>
      <c r="J34" s="0" t="inlineStr"/>
      <c r="K34" s="0" t="inlineStr">
        <is>
          <t>01/2025</t>
        </is>
      </c>
      <c r="L34" s="0" t="inlineStr"/>
      <c r="M34" s="0" t="n">
        <v>-126.63</v>
      </c>
      <c r="N34" s="0" t="inlineStr">
        <is>
          <t>Lançamentos manuais</t>
        </is>
      </c>
    </row>
    <row r="35">
      <c r="A35" s="0" t="inlineStr">
        <is>
          <t>31</t>
        </is>
      </c>
      <c r="B35" s="0" t="inlineStr">
        <is>
          <t>8044</t>
        </is>
      </c>
      <c r="C35" s="0" t="inlineStr">
        <is>
          <t>LOUROSA PARTICIPACOES E IMOVEIS LTDA</t>
        </is>
      </c>
      <c r="D35" s="0" t="inlineStr">
        <is>
          <t>44822</t>
        </is>
      </c>
      <c r="E35" s="0" t="inlineStr">
        <is>
          <t>Rua Dr. Paulo Fróes Machado N. 105 - Loja - Nova Iguaçu (194 1/1)</t>
        </is>
      </c>
      <c r="F35" s="0" t="inlineStr">
        <is>
          <t>37421566000105</t>
        </is>
      </c>
      <c r="G35" s="0" t="inlineStr">
        <is>
          <t>702</t>
        </is>
      </c>
      <c r="H35" s="0" t="inlineStr">
        <is>
          <t>Dev. Condominio</t>
        </is>
      </c>
      <c r="I35" s="0" t="inlineStr"/>
      <c r="J35" s="0" t="inlineStr"/>
      <c r="K35" s="0" t="inlineStr">
        <is>
          <t>01/2025</t>
        </is>
      </c>
      <c r="L35" s="0" t="inlineStr"/>
      <c r="M35" s="0" t="n">
        <v>-102.86</v>
      </c>
      <c r="N35" s="0" t="inlineStr">
        <is>
          <t>Lançamentos manuais</t>
        </is>
      </c>
    </row>
    <row r="36">
      <c r="A36" s="0" t="inlineStr">
        <is>
          <t>31</t>
        </is>
      </c>
      <c r="B36" s="0" t="inlineStr">
        <is>
          <t>8044</t>
        </is>
      </c>
      <c r="C36" s="0" t="inlineStr">
        <is>
          <t>LOUROSA PARTICIPACOES E IMOVEIS LTDA</t>
        </is>
      </c>
      <c r="D36" s="0" t="inlineStr">
        <is>
          <t>45241</t>
        </is>
      </c>
      <c r="E36" s="0" t="inlineStr">
        <is>
          <t>Rua Miguel Couto N. 143 / 1º Andar (121 2/3)</t>
        </is>
      </c>
      <c r="F36" s="0" t="inlineStr">
        <is>
          <t>98626388772</t>
        </is>
      </c>
      <c r="G36" s="0" t="inlineStr">
        <is>
          <t>127</t>
        </is>
      </c>
      <c r="H36" s="0" t="inlineStr">
        <is>
          <t>Taxa Lixo</t>
        </is>
      </c>
      <c r="I36" s="0" t="inlineStr">
        <is>
          <t>2025</t>
        </is>
      </c>
      <c r="J36" s="0" t="inlineStr"/>
      <c r="K36" s="0" t="inlineStr">
        <is>
          <t>01/0010</t>
        </is>
      </c>
      <c r="L36" s="0" t="inlineStr"/>
      <c r="M36" s="0" t="n">
        <v>9.34</v>
      </c>
      <c r="N36" s="0" t="inlineStr">
        <is>
          <t>Lançamentos manuais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João Martins</dc:creator>
  <dcterms:created xmlns:dcterms="http://purl.org/dc/terms/" xmlns:xsi="http://www.w3.org/2001/XMLSchema-instance" xsi:type="dcterms:W3CDTF">2021-12-12T03:02:13Z</dcterms:created>
  <dcterms:modified xmlns:dcterms="http://purl.org/dc/terms/" xmlns:xsi="http://www.w3.org/2001/XMLSchema-instance" xsi:type="dcterms:W3CDTF">2025-07-06T01:12:23Z</dcterms:modified>
  <cp:lastModifiedBy>Herick Ferreira de Sousa</cp:lastModifiedBy>
</cp:coreProperties>
</file>